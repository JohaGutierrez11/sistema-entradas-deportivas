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oduct Backlog" sheetId="2" state="visible" r:id="rId4"/>
    <sheet name="Sprints" sheetId="3" state="visible" r:id="rId5"/>
    <sheet name="Rúbrica" sheetId="4" state="visible" r:id="rId6"/>
    <sheet name="Burndown" sheetId="5" state="visible" r:id="rId7"/>
  </sheets>
  <definedNames>
    <definedName function="false" hidden="true" localSheetId="1" name="_xlnm._FilterDatabase" vbProcedure="false">'Product Backlog'!$A$4:$M$41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<sst xmlns="http://schemas.openxmlformats.org/spreadsheetml/2006/main" count="482" uniqueCount="275">
  <si>
    <t xml:space="preserve">Plan de Sprints — Sistema de Gestión de Entradas para Eventos Deportivos</t>
  </si>
  <si>
    <t xml:space="preserve">Complexivo práctico · Ingeniería en Sistemas de Información (UCE) · Metodología: Scrum adaptado (sprints cortos)</t>
  </si>
  <si>
    <t xml:space="preserve">Inicio del proyecto</t>
  </si>
  <si>
    <t xml:space="preserve">Fecha de entrega</t>
  </si>
  <si>
    <t xml:space="preserve">Total de historias</t>
  </si>
  <si>
    <t xml:space="preserve">Story points totales</t>
  </si>
  <si>
    <t xml:space="preserve">Story points completados</t>
  </si>
  <si>
    <t xml:space="preserve">Avance del proyecto</t>
  </si>
  <si>
    <t xml:space="preserve">Historias completadas</t>
  </si>
  <si>
    <t xml:space="preserve">Cómo usar este archivo</t>
  </si>
  <si>
    <t xml:space="preserve">• Edita solo las celdas amarillas: Estado, Fecha completada, Rama / PR y Notas en 'Product Backlog', y Review / Retrospectiva en 'Sprints'.</t>
  </si>
  <si>
    <t xml:space="preserve">• Al marcar una historia como 'Hecho', pon la fecha en que se terminó: alimenta el burndown.</t>
  </si>
  <si>
    <t xml:space="preserve">• Puntos de historia en escala Fibonacci (1, 2, 3, 5, 8): miden complejidad relativa, no horas.</t>
  </si>
  <si>
    <t xml:space="preserve">• Prioridad MoSCoW: Must = obligatorio por enunciado/rúbrica; Should = suma valor en la defensa.</t>
  </si>
  <si>
    <t xml:space="preserve">Product Backlog</t>
  </si>
  <si>
    <t xml:space="preserve">Celdas amarillas = editables (Estado, Fecha completada, Rama / PR, Notas). El resto es la planificación.</t>
  </si>
  <si>
    <t xml:space="preserve">ID</t>
  </si>
  <si>
    <t xml:space="preserve">Historia de usuario</t>
  </si>
  <si>
    <t xml:space="preserve">Tipo</t>
  </si>
  <si>
    <t xml:space="preserve">Componente</t>
  </si>
  <si>
    <t xml:space="preserve">Prioridad</t>
  </si>
  <si>
    <t xml:space="preserve">Story points</t>
  </si>
  <si>
    <t xml:space="preserve">Sprint</t>
  </si>
  <si>
    <t xml:space="preserve">Estado</t>
  </si>
  <si>
    <t xml:space="preserve">Fecha completada</t>
  </si>
  <si>
    <t xml:space="preserve">Ítem de rúbrica</t>
  </si>
  <si>
    <t xml:space="preserve">Criterios de aceptación</t>
  </si>
  <si>
    <t xml:space="preserve">Rama / PR</t>
  </si>
  <si>
    <t xml:space="preserve">Notas</t>
  </si>
  <si>
    <t xml:space="preserve">HU-01</t>
  </si>
  <si>
    <t xml:space="preserve">Como desarrolladora, quiero el entorno instalado (JDK 21, IntelliJ, Docker, Node, Git, Apidog) para poder construir el sistema</t>
  </si>
  <si>
    <t xml:space="preserve">Técnica</t>
  </si>
  <si>
    <t xml:space="preserve">Infraestructura</t>
  </si>
  <si>
    <t xml:space="preserve">Must</t>
  </si>
  <si>
    <t xml:space="preserve">Sprint 0</t>
  </si>
  <si>
    <t xml:space="preserve">Hecho</t>
  </si>
  <si>
    <t xml:space="preserve">—</t>
  </si>
  <si>
    <t xml:space="preserve">Todos los comandos de versión responden; Docker levanta un contenedor PostgreSQL</t>
  </si>
  <si>
    <t xml:space="preserve">JDK 17, IntelliJ, Docker (hello-world OK), Node, Git, VS Code. Apidog instalado.</t>
  </si>
  <si>
    <t xml:space="preserve">HU-02</t>
  </si>
  <si>
    <t xml:space="preserve">Como equipo, quiero un modelo ER con las 11 entidades, cardinalidades y reglas de integridad para diseñar la base de datos</t>
  </si>
  <si>
    <t xml:space="preserve">Base de datos</t>
  </si>
  <si>
    <t xml:space="preserve">Modelo ER, Scripts SQL (5)</t>
  </si>
  <si>
    <t xml:space="preserve">11 entidades; cardinalidades y participación indicadas; estado del asiento por partido modelado</t>
  </si>
  <si>
    <t xml:space="preserve">docs/HU-02-modelo-er · PR #1 · fix/HU-02-ruta-docs · PR #2</t>
  </si>
  <si>
    <t xml:space="preserve">12 tablas en 3 BD. Ruta corregida en PR #2. Actualizado con public_id UUID (decisión 12) en la rama de HU-03.</t>
  </si>
  <si>
    <t xml:space="preserve">HU-03</t>
  </si>
  <si>
    <t xml:space="preserve">Como equipo, quiero un script SQL de creación con PK, FK y restricciones para generar la base de datos</t>
  </si>
  <si>
    <t xml:space="preserve">El script corre sin errores en una BD vacía; UNIQUE(partido, asiento); CHECK de tipos de sección</t>
  </si>
  <si>
    <t xml:space="preserve">feature/HU-03-script-sql · PR #3</t>
  </si>
  <si>
    <t xml:space="preserve">3 scripts de esquema + 65 pruebas de restricciones (65/65 PASS). Id interno BIGINT + public_id UUID.</t>
  </si>
  <si>
    <t xml:space="preserve">HU-04</t>
  </si>
  <si>
    <t xml:space="preserve">Como equipo, quiero un script semilla con al menos 5 registros por tabla para tener datos de prueba</t>
  </si>
  <si>
    <t xml:space="preserve">≥5 registros por tabla; ninguna violación de FK ni de restricciones</t>
  </si>
  <si>
    <t xml:space="preserve">feature/HU-04-datos-semilla · PR #4</t>
  </si>
  <si>
    <t xml:space="preserve">Semillas de las 3 bases (≥5 por tabla, 610 asientos generados) + 36 verificaciones + setup-db.ps1 + estado BLOQUEADO. 106/106 PASS.</t>
  </si>
  <si>
    <t xml:space="preserve">HU-05</t>
  </si>
  <si>
    <t xml:space="preserve">Como equipo, quiero un repositorio GitHub con carpetas backend y frontend para versionar el proyecto</t>
  </si>
  <si>
    <t xml:space="preserve">Repositorio</t>
  </si>
  <si>
    <t xml:space="preserve">Sprint 1</t>
  </si>
  <si>
    <t xml:space="preserve">Entregable GitHub</t>
  </si>
  <si>
    <t xml:space="preserve">Repo creado con estructura backend/ y frontend/ y primer commit</t>
  </si>
  <si>
    <t xml:space="preserve">chore/HU-05-estructura-proyecto · PR #7</t>
  </si>
  <si>
    <t xml:space="preserve">backend/match-service (Spring Boot 4.1.1, Java 17, puerto 8082, conectado a match_db) y frontend/ (React + Vite, puerto 5173). Nombres en inglés: match-service, auth-service, reservation-service.</t>
  </si>
  <si>
    <t xml:space="preserve">HU-06</t>
  </si>
  <si>
    <t xml:space="preserve">Como administrador, quiero registrar un escenario deportivo (nombre, descripción, ubicación, capacidad) para gestionar estadios</t>
  </si>
  <si>
    <t xml:space="preserve">Funcional</t>
  </si>
  <si>
    <t xml:space="preserve">MS Partidos</t>
  </si>
  <si>
    <t xml:space="preserve">Microservicio de partidos (5)</t>
  </si>
  <si>
    <t xml:space="preserve">CRUD responde 201/200/404; capacidad positiva validada</t>
  </si>
  <si>
    <t xml:space="preserve">docs/HU-06-contrato-ms-partidos · PR #5 · feature/HU-06-crud-estadios · PR #8</t>
  </si>
  <si>
    <t xml:space="preserve">CRUD de estadios: GET lista/por id, POST (201 + Location), PUT, DELETE (204). Errores Problem Details: 400 por campo, 404, 409 (nombre duplicado en 2 capas; estadio con secciones/partidos), 422 (capacidad &lt; secciones). NOT NULL/CHECK → 500 para no ocultar bugs. Listas blancas @Pattern. Riesgo abierto: sin Spring Security hasta HU-11/12. Mejora: índice único sobre LOWER(name).</t>
  </si>
  <si>
    <t xml:space="preserve">HU-07</t>
  </si>
  <si>
    <t xml:space="preserve">Como administrador, quiero registrar secciones (PALCOS, GENERAL, PREFERENCIA, TRIBUNAS), filas con letras y asientos para definir la distribución física</t>
  </si>
  <si>
    <t xml:space="preserve">Tipo de sección fuera del catálogo → 400; filas A, B, C consecutivas; asientos generados por fila</t>
  </si>
  <si>
    <t xml:space="preserve">feature/HU-07-secciones · PR #9</t>
  </si>
  <si>
    <t xml:space="preserve">Entidades Section/SeatRow/Seat con relaciones y cascade. GET y POST de secciones: genera filas A..Z y asientos 1..N en una transacción. 400 tipo fuera de catálogo / rangos; 404; 409 nombre por estadio; 422 si supera la capacidad del estadio. Pendiente (nueva HU): editar/eliminar sección y endpoint layout. Mejora: bloqueo pesimista para la regla de capacidad con concurrencia.</t>
  </si>
  <si>
    <t xml:space="preserve">HU-08</t>
  </si>
  <si>
    <t xml:space="preserve">Como administrador, quiero registrar partidos (nombre, descripción, fecha, hora, estado, escenario) para publicarlos</t>
  </si>
  <si>
    <t xml:space="preserve">Escenario inexistente → 404; fecha pasada rechazada</t>
  </si>
  <si>
    <t xml:space="preserve">feature/HU-08-partidos · PR #10</t>
  </si>
  <si>
    <t xml:space="preserve">POST/GET/PUT de partidos. Nace PROGRAMADO; fecha+hora pasadas (hora de Ecuador) → 422; estadio inexistente → 404. Máquina de estados en MatchStatus: PROGRAMADO→EN_CURSO→FINALIZADO y PROGRAMADO→CANCELADO; estados finales no se modifican (422). No se cambia de estadio (asientos reservados). No se eliminan partidos: se cancelan. Mass assignment de status bloqueado por DTO. 400 con mensaje claro para JSON/formato inválido.</t>
  </si>
  <si>
    <t xml:space="preserve">HU-09</t>
  </si>
  <si>
    <t xml:space="preserve">Como cliente, quiero consultar partidos filtrando por fecha, nombre o estadio para encontrar el evento que busco</t>
  </si>
  <si>
    <t xml:space="preserve">Consulta de partidos (2)</t>
  </si>
  <si>
    <t xml:space="preserve">Cada filtro funciona solo y combinado; sin resultados → lista vacía, no error</t>
  </si>
  <si>
    <t xml:space="preserve">feature/HU-09-catalogo-partidos · PR #11</t>
  </si>
  <si>
    <t xml:space="preserve">GET /matches con filtros opcionales y combinables (date, name, stadiumId, status) usando Specification. Sin filtros: PROGRAMADO desde hoy, orden por fecha y hora. Sin resultados → []. fetch del estadio contra N+1. Parámetros inválidos → 400 con lista errors. Pendiente: fijar idioma de mensajes (spring.web.locale: es).</t>
  </si>
  <si>
    <t xml:space="preserve">HU-10</t>
  </si>
  <si>
    <t xml:space="preserve">Como cliente, quiero registrarme y recibir por correo mi username y contraseña de primer acceso para validar mi cuenta</t>
  </si>
  <si>
    <t xml:space="preserve">MS Usuarios/Auth</t>
  </si>
  <si>
    <t xml:space="preserve">Microservicio de autenticación (5)</t>
  </si>
  <si>
    <t xml:space="preserve">Correo inválido → 400; cédula/correo duplicado → 409; el correo llega con las credenciales</t>
  </si>
  <si>
    <t xml:space="preserve">feature/HU-14-swagger · PR de cierre del Sprint 1</t>
  </si>
  <si>
    <t xml:space="preserve">auth-service (8081, auth_db). Registro: usuario generado (inicial + apellido, sin tildes, con número si existe), contraseña temporal con SecureRandom enviada por correo (Mailpit), nunca devuelta por la API. @CedulaEcuatoriana (módulo 10) y teléfono ecuatoriano. 409 por cédula o correo repetido.</t>
  </si>
  <si>
    <t xml:space="preserve">HU-11</t>
  </si>
  <si>
    <t xml:space="preserve">Como usuario, quiero iniciar sesión y obtener un token según mi rol para acceder a mis funcionalidades</t>
  </si>
  <si>
    <t xml:space="preserve">Credenciales malas → 401 con mensaje genérico; usuario inactivo → 403; 5 intentos fallidos → BLOQUEADO 15 min (423); login exitoso reinicia el contador; token con rol y expiración</t>
  </si>
  <si>
    <t xml:space="preserve">Login JWT HS256 (sub, role, userId, clientId; 60 min). 401 genérico; 423 bloqueada (antes de la contraseña); 403 inactiva (después); 5 intentos → BLOQUEADO 15 min con noRollbackFor. Cambio de contraseña: usuario tomado del token. Bug encontrado vía Swagger: el endpoint de login no estaba expuesto.</t>
  </si>
  <si>
    <t xml:space="preserve">HU-12</t>
  </si>
  <si>
    <t xml:space="preserve">Como administrador, quiero gestionar usuarios y roles con estado ACTIVO/INACTIVO para controlar el acceso</t>
  </si>
  <si>
    <t xml:space="preserve">Cliente llamando endpoint admin → 403; usuario desactivado no puede iniciar sesión</t>
  </si>
  <si>
    <t xml:space="preserve">Solo ADMIN: listar usuarios y roles, activar/desactivar. ACTIVO desbloquea. No se asigna BLOQUEADO a mano, no se desactiva la propia cuenta ni el rol ADMIN (422). Roles en el JWT → 401/403.</t>
  </si>
  <si>
    <t xml:space="preserve">HU-13</t>
  </si>
  <si>
    <t xml:space="preserve">Como equipo, quiero contraseñas con hash BCrypt y DTOs validados para cumplir la seguridad pedida (CID/AAA)</t>
  </si>
  <si>
    <t xml:space="preserve">Ninguna contraseña en texto plano en BD; campos obligatorios vacíos → 400</t>
  </si>
  <si>
    <t xml:space="preserve">Contraseñas solo como hash BCrypt ($2a$10$). DTOs validados con lista errors (400), mensajes en español.</t>
  </si>
  <si>
    <t xml:space="preserve">HU-14</t>
  </si>
  <si>
    <t xml:space="preserve">Como equipo, quiero Swagger/OpenAPI en Partidos y Auth para documentar las APIs</t>
  </si>
  <si>
    <t xml:space="preserve">Documentación</t>
  </si>
  <si>
    <t xml:space="preserve">Entregable Backend</t>
  </si>
  <si>
    <t xml:space="preserve">/swagger-ui accesible en ambos servicios</t>
  </si>
  <si>
    <t xml:space="preserve">Swagger en match-service (8082) y auth-service (8081, con botón Authorize). Contrato docs/apis/auth-service.openapi.yaml para Apidog.</t>
  </si>
  <si>
    <t xml:space="preserve">HU-15</t>
  </si>
  <si>
    <t xml:space="preserve">Como cliente, quiero ver la disponibilidad de asientos de un partido para elegir dónde sentarme</t>
  </si>
  <si>
    <t xml:space="preserve">MS Reservas</t>
  </si>
  <si>
    <t xml:space="preserve">Sprint 2</t>
  </si>
  <si>
    <t xml:space="preserve">Realizar reserva (4)</t>
  </si>
  <si>
    <t xml:space="preserve">Asiento reservado aparece ocupado para ese partido y libre para otro partido</t>
  </si>
  <si>
    <t xml:space="preserve">feature/HU-22-reservation-service · PR #14 y #15</t>
  </si>
  <si>
    <t xml:space="preserve">Entidades Reservation/SeatLock/Ticket/Parameter. GET /matches/{id}/availability devuelve solo asientos ocupados (RESERVED, o HELD con reserva sin vencer) y refreshSeconds del parámetro. Sin @Transactional por la llamada remota. Probado: partido con y sin ocupados, vencimiento de la reserva semilla, 404, 401, 400, 503.</t>
  </si>
  <si>
    <t xml:space="preserve">HU-16</t>
  </si>
  <si>
    <t xml:space="preserve">Como cliente, quiero reservar hasta 6 asientos por partido para asistir con acompañantes</t>
  </si>
  <si>
    <t xml:space="preserve">Microservicio de reservas (5)</t>
  </si>
  <si>
    <t xml:space="preserve">7.ª entrada → 422; asiento ocupado → 409; dos reservas simultáneas del mismo asiento → solo una gana; máximo leído de Parámetro</t>
  </si>
  <si>
    <t xml:space="preserve">POST /reservations y GET /reservations/{publicId}. Llamada a match-service fuera de la transacción (ReservationService) y escritura en ReservationWriter (@Transactional, por el proxy de Spring). Máximo por parámetro → 422 (valor límite 6 OK), ocupado → 409 (consulta + UNIQUE con saveAndFlush), partido no PROGRAMADO → 422, asiento de otro estadio → 404, solo CLIENTE → 403, reserva ajena → 404 (IDOR). Vencidas se liberan al reservar (flush antes del INSERT). Código RES-AAAA-XXXXXX aleatorio. Pendiente: prueba de concurrencia con k6 (Sprint 4).</t>
  </si>
  <si>
    <t xml:space="preserve">HU-17</t>
  </si>
  <si>
    <t xml:space="preserve">Como sistema, quiero liberar los asientos de reservas no confirmadas a tiempo para que vuelvan a estar disponibles</t>
  </si>
  <si>
    <t xml:space="preserve">Reserva pendiente pasado el tiempo del parámetro → EXPIRADA y asientos libres</t>
  </si>
  <si>
    <t xml:space="preserve">feature/HU-17-expiracion-automatica · PR #16</t>
  </si>
  <si>
    <t xml:space="preserve">Tarea programada (SchedulingConfigurer + Trigger propio): el intervalo se lee de EXPIRATION_JOB_SECONDS antes de cada ciclo, se cambia sin reiniciar; valor inválido o ausente → 60 s con warn (fail-safe). Vence las PENDIENTE de todos los partidos con SELECT ... FOR UPDATE (no choca con confirmar). Reservation.expire() centraliza la regla (modelo de dominio rico). Log solo cuando expira algo. Hallazgo SonarQube (java:S6809): auto-invocación de método @Transactional → expirePending privado. Mejora futura: ShedLock con varias instancias.</t>
  </si>
  <si>
    <t xml:space="preserve">HU-18</t>
  </si>
  <si>
    <t xml:space="preserve">Como cliente, quiero un ticket electrónico con QR único por cada entrada para ingresar al estadio</t>
  </si>
  <si>
    <t xml:space="preserve">Código QR (2)</t>
  </si>
  <si>
    <t xml:space="preserve">1 ticket por asiento; código QR no secuencial ni repetido</t>
  </si>
  <si>
    <t xml:space="preserve">POST /reservations/{publicId}/confirm: re-valida el partido en match-service, bloqueo pesimista (SELECT ... FOR UPDATE) contra doble clic, solo PENDIENTE y sin vencer (409), asientos HELD → RESERVED y 1 ticket ACTIVO por asiento. QR = 64 caracteres hex de SecureRandom, sin datos personales. GET /tickets/{publicId}/qr devuelve PNG (ZXing), ticket ajeno → 404. Bug encontrado en regresión (corregido en PR #16): LazyInitializationException al armar la respuesta fuera de la transacción → la reserva quedaba CONFIRMADA pero el cliente recibía 500. Regla: la transacción devuelve DTOs, no entidades.</t>
  </si>
  <si>
    <t xml:space="preserve">HU-19</t>
  </si>
  <si>
    <t xml:space="preserve">Como cliente o administrador, quiero cancelar reservas activas no expiradas ni utilizadas para liberar asientos</t>
  </si>
  <si>
    <t xml:space="preserve">Cancelar reserva EXPIRADA o UTILIZADA → 409; reserva ajena → 404 (no revela que existe, igual que consultar y confirmar)</t>
  </si>
  <si>
    <t xml:space="preserve">feature/HU-19-cancelar-reserva · PR #17</t>
  </si>
  <si>
    <t xml:space="preserve">POST /reservations/{publicId}/cancel (borrado lógico: la reserva queda CANCELADA para reportes y auditoría). Dueño o ADMIN; ajena → 404 (decisión 21-oct, consistente con consultar y confirmar). Cancelada/expirada/vencida o con entrada UTILIZADO → 409. CONFIRMADA de partido EN_CURSO/FINALIZADO → 422; PENDIENTE se cancela aunque match-service esté caído (sin dependencia innecesaria). Reservation.cancel() libera asientos y anula tickets; mismo bloqueo pesimista que confirmar y expirar. Refactor findAccessible (regla anti-IDOR en un solo lugar) y MeController movido a controller. Integración probada: al cancelar se libera el cupo de 6.</t>
  </si>
  <si>
    <t xml:space="preserve">HU-20</t>
  </si>
  <si>
    <t xml:space="preserve">Como cliente, quiero un reporte "Mis reservas" con historial, tickets y estado, descargable en PDF</t>
  </si>
  <si>
    <t xml:space="preserve">Pendiente</t>
  </si>
  <si>
    <t xml:space="preserve">Implementación aplicación web (10)</t>
  </si>
  <si>
    <t xml:space="preserve">Solo muestra reservas propias; PDF se genera y abre</t>
  </si>
  <si>
    <t xml:space="preserve">HU-21</t>
  </si>
  <si>
    <t xml:space="preserve">Como administrador, quiero un reporte consolidado con filtros (fechas, partido, estado) e indicadores de ocupación, en PDF</t>
  </si>
  <si>
    <t xml:space="preserve">Ocupación por partido y por sección calculada correctamente; filtros combinables</t>
  </si>
  <si>
    <t xml:space="preserve">HU-22</t>
  </si>
  <si>
    <t xml:space="preserve">Como equipo, quiero que Reservas consulte a Partidos y valide el token por REST para mantener la integridad entre servicios</t>
  </si>
  <si>
    <t xml:space="preserve">Integración</t>
  </si>
  <si>
    <t xml:space="preserve">Comunicación entre microservicios</t>
  </si>
  <si>
    <t xml:space="preserve">Asiento inexistente en Partidos → 404 desde Reservas; Partidos caído → error controlado</t>
  </si>
  <si>
    <t xml:space="preserve">reservation-service (8083, reservation_db) valida el JWT de auth-service sin llamarlo (mismo secreto) y GET /me. match-service exige JWT de ADMIN para escribir y expone POST /internal/seats/validate con X-Internal-Key (MessageDigest.isEqual). RestClient con timeouts 2 s/3 s: 404 se propaga, caída → 503 sin guardar nada y recuperación al volver. Bug de contrato: X-Internal-Key declarado como esquema de seguridad no llegaba como header en Apidog → parámetro de header.</t>
  </si>
  <si>
    <t xml:space="preserve">HU-23</t>
  </si>
  <si>
    <t xml:space="preserve">Como usuario, quiero pantallas de inicio de sesión y registro para acceder al sistema</t>
  </si>
  <si>
    <t xml:space="preserve">Frontend</t>
  </si>
  <si>
    <t xml:space="preserve">Sprint 3</t>
  </si>
  <si>
    <t xml:space="preserve">Acceso a la aplicación web (2)</t>
  </si>
  <si>
    <t xml:space="preserve">Mensajes de error claros; tras login redirige según rol</t>
  </si>
  <si>
    <t xml:space="preserve">HU-24</t>
  </si>
  <si>
    <t xml:space="preserve">Como cliente, quiero un catálogo de partidos con búsqueda por fecha para elegir un evento</t>
  </si>
  <si>
    <t xml:space="preserve">Búsqueda por fecha funciona; muestra estadio, fecha y hora</t>
  </si>
  <si>
    <t xml:space="preserve">HU-25</t>
  </si>
  <si>
    <t xml:space="preserve">Como cliente, quiero un mapa gráfico de asientos por sección y fila con disponibilidad en tiempo real para elegir mis asientos</t>
  </si>
  <si>
    <t xml:space="preserve">Usabilidad y experiencia de usuario (5)</t>
  </si>
  <si>
    <t xml:space="preserve">Colores libre/ocupado/seleccionado con leyenda; se actualiza sin recargar; no deja elegir más de 6</t>
  </si>
  <si>
    <t xml:space="preserve">HU-26</t>
  </si>
  <si>
    <t xml:space="preserve">Como cliente, quiero un formulario de confirmación de reserva (máximo 6) para cerrar mi compra</t>
  </si>
  <si>
    <t xml:space="preserve">Resumen antes de confirmar; error 409/422 mostrado en lenguaje claro</t>
  </si>
  <si>
    <t xml:space="preserve">HU-27</t>
  </si>
  <si>
    <t xml:space="preserve">Como cliente, quiero ver mi boleto electrónico con código QR para presentarlo en el ingreso</t>
  </si>
  <si>
    <t xml:space="preserve">QR visible y legible por un lector de celular</t>
  </si>
  <si>
    <t xml:space="preserve">HU-28</t>
  </si>
  <si>
    <t xml:space="preserve">Como administrador, quiero pantallas de usuarios/roles, estadios, partidos, reservas por evento y reporte general</t>
  </si>
  <si>
    <t xml:space="preserve">Consumo de microservicios desde la interfaz (5)</t>
  </si>
  <si>
    <t xml:space="preserve">Cada pantalla consume su microservicio; operaciones CRUD visibles</t>
  </si>
  <si>
    <t xml:space="preserve">HU-29</t>
  </si>
  <si>
    <t xml:space="preserve">Como usuario, quiero ver solo las opciones de mi rol para no acceder a funciones ajenas</t>
  </si>
  <si>
    <t xml:space="preserve">Cliente no ve menú admin; URL admin sin permiso redirige</t>
  </si>
  <si>
    <t xml:space="preserve">HU-30</t>
  </si>
  <si>
    <t xml:space="preserve">Como QA, quiero pruebas E2E en Apidog de las reglas de negocio para demostrar que el sistema funciona</t>
  </si>
  <si>
    <t xml:space="preserve">Calidad</t>
  </si>
  <si>
    <t xml:space="preserve">Should</t>
  </si>
  <si>
    <t xml:space="preserve">Sprint 4</t>
  </si>
  <si>
    <t xml:space="preserve">Defensa</t>
  </si>
  <si>
    <t xml:space="preserve">Escenarios: 7.ª entrada, asiento ocupado, rol sin permiso, expiración — todos en verde</t>
  </si>
  <si>
    <t xml:space="preserve">HU-31</t>
  </si>
  <si>
    <t xml:space="preserve">Como evaluador, quiero un README con instrucciones de despliegue, .env de ejemplo y docker compose para levantar el sistema</t>
  </si>
  <si>
    <t xml:space="preserve">Un tercero levanta todo siguiendo solo el README</t>
  </si>
  <si>
    <t xml:space="preserve">HU-32</t>
  </si>
  <si>
    <t xml:space="preserve">Como evaluador, quiero diagramas de arquitectura para entender la interacción entre componentes</t>
  </si>
  <si>
    <t xml:space="preserve">Arquitectura de software</t>
  </si>
  <si>
    <t xml:space="preserve">Diagrama de componentes y de despliegue incluidos</t>
  </si>
  <si>
    <t xml:space="preserve">HU-33</t>
  </si>
  <si>
    <t xml:space="preserve">Como estudiante, quiero ensayar la defensa para justificar cada decisión técnica</t>
  </si>
  <si>
    <t xml:space="preserve">Ensayo completo con preguntas probables respondidas</t>
  </si>
  <si>
    <t xml:space="preserve">HU-34</t>
  </si>
  <si>
    <t xml:space="preserve">Como auditor, quiero un registro de auditoría (audit_log) de inicios de sesión y operaciones sobre reservas para cumplir la tríada AAA</t>
  </si>
  <si>
    <t xml:space="preserve">Login, cancelación y cambios de estado quedan registrados con usuario, acción y fecha</t>
  </si>
  <si>
    <t xml:space="preserve">Should. Recortable: si no alcanza el tiempo, se documenta como trabajo futuro (decisión de alcance del Sprint 2, replanificado el 21-oct).</t>
  </si>
  <si>
    <t xml:space="preserve">HU-35</t>
  </si>
  <si>
    <t xml:space="preserve">Como cliente, quiero que un doble clic o un reintento no cree dos reservas iguales (llave de idempotencia)</t>
  </si>
  <si>
    <t xml:space="preserve">Could</t>
  </si>
  <si>
    <t xml:space="preserve">Dos POST con la misma Idempotency-Key devuelven la misma reserva, sin duplicar</t>
  </si>
  <si>
    <t xml:space="preserve">HU-36</t>
  </si>
  <si>
    <t xml:space="preserve">Como cliente, quiero cancelar solo algunas entradas de una reserva confirmada para no perder los asientos de mis acompañantes</t>
  </si>
  <si>
    <t xml:space="preserve">Anular 1 ticket → ANULADO y asiento libre; la reserva sigue CONFIRMADA con las demás; al anular la última pasa a CANCELADA; el cupo de 6 se libera; ticket UTILIZADO → 409; ticket ajeno → 404</t>
  </si>
  <si>
    <t xml:space="preserve">Hueco funcional encontrado al probar HU-19 (21-oct): el requisito habla de cancelar reservas, no entradas. Decisión: HU-19 cancela la reserva completa; la cancelación parcial queda como Could. Alternativa mientras tanto: hacer reservas separadas por grupo. El diseño ya lo soporta (el conteo de 6 usa seat_lock). Documentar en README → Supuestos.</t>
  </si>
  <si>
    <t xml:space="preserve">HU-37</t>
  </si>
  <si>
    <t xml:space="preserve">Como cliente, quiero descargar mis entradas en PDF, una por página con su código QR, para presentarlas en la puerta sin depender de internet</t>
  </si>
  <si>
    <t xml:space="preserve">Una página por ticket ACTIVO con partido, estadio, fecha, asiento, código de reserva y QR legible por el celular; reserva sin entradas activas → 409; reserva ajena → 404</t>
  </si>
  <si>
    <t xml:space="preserve">Pedido de la usuaria al probar HU-20 (22-oct): ver el QR de cada asiento también en PDF, tipo pase de abordar. Endpoint aparte del historial (GET /reservations/{publicId}/tickets/pdf) para no inflar el PDF de Mis reservas con imágenes. Reutiliza QrCodeGenerator y la búsqueda de partido con degradación elegante.</t>
  </si>
  <si>
    <t xml:space="preserve">Sprints</t>
  </si>
  <si>
    <t xml:space="preserve">Los puntos y el avance se calculan desde el Product Backlog. Review y Retrospectiva se llenan al cerrar cada sprint.</t>
  </si>
  <si>
    <t xml:space="preserve">Objetivo (Sprint Goal)</t>
  </si>
  <si>
    <t xml:space="preserve">Inicio</t>
  </si>
  <si>
    <t xml:space="preserve">Fin</t>
  </si>
  <si>
    <t xml:space="preserve">Incremento entregable</t>
  </si>
  <si>
    <t xml:space="preserve">Historias</t>
  </si>
  <si>
    <t xml:space="preserve">Puntos planificados</t>
  </si>
  <si>
    <t xml:space="preserve">Puntos completados</t>
  </si>
  <si>
    <t xml:space="preserve">Avance</t>
  </si>
  <si>
    <t xml:space="preserve">Sprint Review</t>
  </si>
  <si>
    <t xml:space="preserve">Retrospectiva</t>
  </si>
  <si>
    <t xml:space="preserve">Base de datos y entorno</t>
  </si>
  <si>
    <t xml:space="preserve">Entorno instalado, modelo ER, script SQL de creación y semillas</t>
  </si>
  <si>
    <t xml:space="preserve">Incremento: modelo ER (12 tablas, 3 BD), scripts SQL con restricciones nombradas, datos semilla (≥5 por tabla) y setup-db.ps1. 106/106 pruebas PASS. La base ya soporta autenticación y autorización; la auditoría queda pendiente para el Sprint 2. HU-05 pasa al Sprint 1 (faltan carpetas backend/ y frontend/). Resumen completo en docs/sprints/sprint-0.md.</t>
  </si>
  <si>
    <t xml:space="preserve">Salió bien: crear las bases de datos y encontrar las relaciones entre las tablas.
Costó: recordar el modelo entidad-relación y saber dónde va la FK.
Acción de mejora: probar en Apidog cada endpoint apenas esté listo, no al final del sprint.</t>
  </si>
  <si>
    <t xml:space="preserve">Microservicios Partidos y Usuarios/Auth</t>
  </si>
  <si>
    <t xml:space="preserve">Partidos y Auth funcionando con Swagger, JWT y roles</t>
  </si>
  <si>
    <t xml:space="preserve">Incremento: match-service (estadios, secciones con filas y asientos, partidos con máquina de estados, catálogo con filtros) y auth-service (registro con credenciales por correo, login JWT con bloqueo, administración de usuarios y roles), ambos con Swagger. 31/31 puntos. 8 bugs encontrados y corregidos con pruebas (valores límite, transición de estados, seguridad). Riesgo abierto: match-service aún no valida el JWT. Resumen completo en docs/sprints/sprint-1.md.</t>
  </si>
  <si>
    <t xml:space="preserve">Salió bien: se completaron las 10 historias y los dos microservicios funcionan.
Costó: surgieron dudas con conceptos nuevos (Java, JPA, JWT) y con Git (rama equivocada).
Acción de mejora: hacer las cosas más rápido: revisar la rama antes de empezar, cerrar cada HU con su PR y probar cada endpoint apenas esté listo.</t>
  </si>
  <si>
    <t xml:space="preserve">Microservicio Reservas</t>
  </si>
  <si>
    <t xml:space="preserve">Reservas con regla de 6, expiración, QR y reportes PDF</t>
  </si>
  <si>
    <t xml:space="preserve">Aplicación web completa para Cliente y Administrador</t>
  </si>
  <si>
    <t xml:space="preserve">Cierre y entrega</t>
  </si>
  <si>
    <t xml:space="preserve">Pruebas E2E, README, .env, diagramas, ensayo y entrega</t>
  </si>
  <si>
    <t xml:space="preserve">Total</t>
  </si>
  <si>
    <t xml:space="preserve">Rúbrica de evaluación (del enunciado)</t>
  </si>
  <si>
    <t xml:space="preserve">Fuente: documento 'Complexivo práctico' entregado por la usuaria. Nota final = (Servicios + Arquitectura) / 2.</t>
  </si>
  <si>
    <t xml:space="preserve">Bloque</t>
  </si>
  <si>
    <t xml:space="preserve">Concepto</t>
  </si>
  <si>
    <t xml:space="preserve">Puntaje</t>
  </si>
  <si>
    <t xml:space="preserve">Historias que lo cubren</t>
  </si>
  <si>
    <t xml:space="preserve">Servicios</t>
  </si>
  <si>
    <t xml:space="preserve">Modelo ER, Scripts SQL</t>
  </si>
  <si>
    <t xml:space="preserve">HU-02, HU-03, HU-04</t>
  </si>
  <si>
    <t xml:space="preserve">Acceso a la aplicación web</t>
  </si>
  <si>
    <t xml:space="preserve">HU-23, HU-29</t>
  </si>
  <si>
    <t xml:space="preserve">Consulta de partidos, horarios, secciones, asientos</t>
  </si>
  <si>
    <t xml:space="preserve">HU-09, HU-24</t>
  </si>
  <si>
    <t xml:space="preserve">Realizar reserva</t>
  </si>
  <si>
    <t xml:space="preserve">HU-15, HU-19, HU-26</t>
  </si>
  <si>
    <t xml:space="preserve">Código QR</t>
  </si>
  <si>
    <t xml:space="preserve">HU-18, HU-27</t>
  </si>
  <si>
    <t xml:space="preserve">Usabilidad y experiencia de usuario</t>
  </si>
  <si>
    <t xml:space="preserve">Arquitectura</t>
  </si>
  <si>
    <t xml:space="preserve">Microservicio de autenticación e inicio de sesión</t>
  </si>
  <si>
    <t xml:space="preserve">HU-10 a HU-13</t>
  </si>
  <si>
    <t xml:space="preserve">Microservicio de reservas</t>
  </si>
  <si>
    <t xml:space="preserve">HU-16, HU-17</t>
  </si>
  <si>
    <t xml:space="preserve">Microservicio de partidos</t>
  </si>
  <si>
    <t xml:space="preserve">HU-06, HU-07, HU-08</t>
  </si>
  <si>
    <t xml:space="preserve">Consumo de los microservicios desde la interfaz (API REST)</t>
  </si>
  <si>
    <t xml:space="preserve">HU-28, HU-22</t>
  </si>
  <si>
    <t xml:space="preserve">Total Servicios</t>
  </si>
  <si>
    <t xml:space="preserve">Total Arquitectura</t>
  </si>
  <si>
    <t xml:space="preserve">Nota máxima final</t>
  </si>
  <si>
    <t xml:space="preserve">Burndown del proyecto</t>
  </si>
  <si>
    <t xml:space="preserve">Real = puntos totales − puntos de historias 'Hecho' con fecha completada hasta ese día.</t>
  </si>
  <si>
    <t xml:space="preserve">Fecha</t>
  </si>
  <si>
    <t xml:space="preserve">Ideal</t>
  </si>
  <si>
    <t xml:space="preserve">Real</t>
  </si>
</sst>
</file>

<file path=xl/styles.xml><?xml version="1.0" encoding="utf-8"?>
<styleSheet xmlns="http://schemas.openxmlformats.org/spreadsheetml/2006/main">
  <numFmts count="6">
    <numFmt numFmtId="164" formatCode="General"/>
    <numFmt numFmtId="165" formatCode="dd/mm/yyyy"/>
    <numFmt numFmtId="166" formatCode="General"/>
    <numFmt numFmtId="167" formatCode="0%"/>
    <numFmt numFmtId="168" formatCode="dd/mm"/>
    <numFmt numFmtId="169" formatCode="0.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name val="Arial"/>
      <family val="0"/>
      <charset val="1"/>
    </font>
    <font>
      <b val="true"/>
      <sz val="11"/>
      <color rgb="FF000000"/>
      <name val="Arial"/>
      <family val="0"/>
      <charset val="1"/>
    </font>
    <font>
      <sz val="11"/>
      <color rgb="FF00000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11"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5"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FFFF00"/>
          <bgColor rgb="FF000000"/>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BE4B48"/>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4A7EBB"/>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Burndown (story points restantes)</a:t>
            </a:r>
          </a:p>
        </c:rich>
      </c:tx>
      <c:overlay val="0"/>
      <c:spPr>
        <a:noFill/>
        <a:ln w="0">
          <a:noFill/>
        </a:ln>
      </c:spPr>
    </c:title>
    <c:autoTitleDeleted val="0"/>
    <c:plotArea>
      <c:lineChart>
        <c:grouping val="standard"/>
        <c:varyColors val="0"/>
        <c:ser>
          <c:idx val="0"/>
          <c:order val="0"/>
          <c:tx>
            <c:strRef>
              <c:f>Burndown!B4</c:f>
              <c:strCache>
                <c:ptCount val="1"/>
                <c:pt idx="0">
                  <c:v>Ideal</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Burndown!$A$5:$A$14</c:f>
              <c:strCache>
                <c:ptCount val="10"/>
                <c:pt idx="0">
                  <c:v>17/10</c:v>
                </c:pt>
                <c:pt idx="1">
                  <c:v>18/10</c:v>
                </c:pt>
                <c:pt idx="2">
                  <c:v>19/10</c:v>
                </c:pt>
                <c:pt idx="3">
                  <c:v>20/10</c:v>
                </c:pt>
                <c:pt idx="4">
                  <c:v>21/10</c:v>
                </c:pt>
                <c:pt idx="5">
                  <c:v>22/10</c:v>
                </c:pt>
                <c:pt idx="6">
                  <c:v>23/10</c:v>
                </c:pt>
                <c:pt idx="7">
                  <c:v>24/10</c:v>
                </c:pt>
                <c:pt idx="8">
                  <c:v>25/10</c:v>
                </c:pt>
                <c:pt idx="9">
                  <c:v>26/10</c:v>
                </c:pt>
              </c:strCache>
            </c:strRef>
          </c:cat>
          <c:val>
            <c:numRef>
              <c:f>Burndown!$B$5:$B$14</c:f>
              <c:numCache>
                <c:formatCode>0.0</c:formatCode>
                <c:ptCount val="10"/>
                <c:pt idx="0">
                  <c:v>129</c:v>
                </c:pt>
                <c:pt idx="1">
                  <c:v>114.666666666667</c:v>
                </c:pt>
                <c:pt idx="2">
                  <c:v>100.333333333333</c:v>
                </c:pt>
                <c:pt idx="3">
                  <c:v>86</c:v>
                </c:pt>
                <c:pt idx="4">
                  <c:v>71.6666666666667</c:v>
                </c:pt>
                <c:pt idx="5">
                  <c:v>57.3333333333333</c:v>
                </c:pt>
                <c:pt idx="6">
                  <c:v>43</c:v>
                </c:pt>
                <c:pt idx="7">
                  <c:v>28.6666666666667</c:v>
                </c:pt>
                <c:pt idx="8">
                  <c:v>14.3333333333333</c:v>
                </c:pt>
                <c:pt idx="9">
                  <c:v>0</c:v>
                </c:pt>
              </c:numCache>
            </c:numRef>
          </c:val>
          <c:smooth val="1"/>
        </c:ser>
        <c:ser>
          <c:idx val="1"/>
          <c:order val="1"/>
          <c:tx>
            <c:strRef>
              <c:f>Burndown!C4</c:f>
              <c:strCache>
                <c:ptCount val="1"/>
                <c:pt idx="0">
                  <c:v>Real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Burndown!$A$5:$A$14</c:f>
              <c:strCache>
                <c:ptCount val="10"/>
                <c:pt idx="0">
                  <c:v>17/10</c:v>
                </c:pt>
                <c:pt idx="1">
                  <c:v>18/10</c:v>
                </c:pt>
                <c:pt idx="2">
                  <c:v>19/10</c:v>
                </c:pt>
                <c:pt idx="3">
                  <c:v>20/10</c:v>
                </c:pt>
                <c:pt idx="4">
                  <c:v>21/10</c:v>
                </c:pt>
                <c:pt idx="5">
                  <c:v>22/10</c:v>
                </c:pt>
                <c:pt idx="6">
                  <c:v>23/10</c:v>
                </c:pt>
                <c:pt idx="7">
                  <c:v>24/10</c:v>
                </c:pt>
                <c:pt idx="8">
                  <c:v>25/10</c:v>
                </c:pt>
                <c:pt idx="9">
                  <c:v>26/10</c:v>
                </c:pt>
              </c:strCache>
            </c:strRef>
          </c:cat>
          <c:val>
            <c:numRef>
              <c:f>Burndown!$C$5:$C$14</c:f>
              <c:numCache>
                <c:formatCode>General</c:formatCode>
                <c:ptCount val="10"/>
                <c:pt idx="0">
                  <c:v>116</c:v>
                </c:pt>
                <c:pt idx="1">
                  <c:v>107</c:v>
                </c:pt>
                <c:pt idx="2">
                  <c:v>101</c:v>
                </c:pt>
                <c:pt idx="3">
                  <c:v>85</c:v>
                </c:pt>
                <c:pt idx="4">
                  <c:v>58</c:v>
                </c:pt>
                <c:pt idx="5">
                  <c:v>58</c:v>
                </c:pt>
                <c:pt idx="6">
                  <c:v>58</c:v>
                </c:pt>
                <c:pt idx="7">
                  <c:v>58</c:v>
                </c:pt>
                <c:pt idx="8">
                  <c:v>58</c:v>
                </c:pt>
                <c:pt idx="9">
                  <c:v>58</c:v>
                </c:pt>
              </c:numCache>
            </c:numRef>
          </c:val>
          <c:smooth val="1"/>
        </c:ser>
        <c:hiLowLines>
          <c:spPr>
            <a:ln w="0">
              <a:noFill/>
            </a:ln>
          </c:spPr>
        </c:hiLowLines>
        <c:marker val="0"/>
        <c:axId val="18013576"/>
        <c:axId val="41127647"/>
      </c:lineChart>
      <c:catAx>
        <c:axId val="1801357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Fecha</a:t>
                </a:r>
              </a:p>
            </c:rich>
          </c:tx>
          <c:overlay val="0"/>
          <c:spPr>
            <a:noFill/>
            <a:ln w="0">
              <a:noFill/>
            </a:ln>
          </c:spPr>
        </c:title>
        <c:numFmt formatCode="dd/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127647"/>
        <c:crosses val="autoZero"/>
        <c:auto val="1"/>
        <c:lblAlgn val="ctr"/>
        <c:lblOffset val="100"/>
        <c:noMultiLvlLbl val="0"/>
      </c:catAx>
      <c:valAx>
        <c:axId val="4112764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Puntos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01357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160920</xdr:rowOff>
    </xdr:from>
    <xdr:to>
      <xdr:col>14</xdr:col>
      <xdr:colOff>364680</xdr:colOff>
      <xdr:row>19</xdr:row>
      <xdr:rowOff>162000</xdr:rowOff>
    </xdr:to>
    <xdr:graphicFrame>
      <xdr:nvGraphicFramePr>
        <xdr:cNvPr id="0" name="Chart 1"/>
        <xdr:cNvGraphicFramePr/>
      </xdr:nvGraphicFramePr>
      <xdr:xfrm>
        <a:off x="2867040" y="5716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6"/>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n">
        <v>46312</v>
      </c>
    </row>
    <row r="5" customFormat="false" ht="15" hidden="false" customHeight="false" outlineLevel="0" collapsed="false">
      <c r="A5" s="3" t="s">
        <v>3</v>
      </c>
      <c r="B5" s="4" t="n">
        <v>46321</v>
      </c>
    </row>
    <row r="6" customFormat="false" ht="15" hidden="false" customHeight="false" outlineLevel="0" collapsed="false">
      <c r="A6" s="3" t="s">
        <v>4</v>
      </c>
      <c r="B6" s="5" t="n">
        <f aca="false">COUNTA('Product Backlog'!A5:A41)</f>
        <v>37</v>
      </c>
    </row>
    <row r="7" customFormat="false" ht="15" hidden="false" customHeight="false" outlineLevel="0" collapsed="false">
      <c r="A7" s="3" t="s">
        <v>5</v>
      </c>
      <c r="B7" s="5" t="n">
        <f aca="false">SUM('Product Backlog'!F5:F41)</f>
        <v>129</v>
      </c>
    </row>
    <row r="8" customFormat="false" ht="15" hidden="false" customHeight="false" outlineLevel="0" collapsed="false">
      <c r="A8" s="3" t="s">
        <v>6</v>
      </c>
      <c r="B8" s="5" t="n">
        <f aca="false">SUMIFS('Product Backlog'!F5:F41,'Product Backlog'!H5:H41,"Hecho")</f>
        <v>71</v>
      </c>
    </row>
    <row r="9" customFormat="false" ht="15" hidden="false" customHeight="false" outlineLevel="0" collapsed="false">
      <c r="A9" s="3" t="s">
        <v>7</v>
      </c>
      <c r="B9" s="6" t="n">
        <f aca="false">IF(B7=0,0,B8/B7)</f>
        <v>0.550387596899225</v>
      </c>
    </row>
    <row r="10" customFormat="false" ht="15" hidden="false" customHeight="false" outlineLevel="0" collapsed="false">
      <c r="A10" s="3" t="s">
        <v>8</v>
      </c>
      <c r="B10" s="5" t="n">
        <f aca="false">COUNTIF('Product Backlog'!H5:H41,"Hecho")</f>
        <v>20</v>
      </c>
    </row>
    <row r="12" customFormat="false" ht="15" hidden="false" customHeight="false" outlineLevel="0" collapsed="false">
      <c r="A12" s="7" t="s">
        <v>9</v>
      </c>
    </row>
    <row r="13" customFormat="false" ht="15" hidden="false" customHeight="false" outlineLevel="0" collapsed="false">
      <c r="A13" s="8" t="s">
        <v>10</v>
      </c>
    </row>
    <row r="14" customFormat="false" ht="15" hidden="false" customHeight="false" outlineLevel="0" collapsed="false">
      <c r="A14" s="8" t="s">
        <v>11</v>
      </c>
    </row>
    <row r="15" customFormat="false" ht="15" hidden="false" customHeight="false" outlineLevel="0" collapsed="false">
      <c r="A15" s="8" t="s">
        <v>12</v>
      </c>
    </row>
    <row r="16" customFormat="false" ht="15" hidden="false" customHeight="false" outlineLevel="0" collapsed="false">
      <c r="A16" s="8"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55"/>
    <col collapsed="false" customWidth="true" hidden="false" outlineLevel="0" max="3" min="3" style="0" width="11"/>
    <col collapsed="false" customWidth="true" hidden="false" outlineLevel="0" max="4" min="4" style="0" width="18"/>
    <col collapsed="false" customWidth="true" hidden="false" outlineLevel="0" max="5" min="5" style="0" width="11"/>
    <col collapsed="false" customWidth="true" hidden="false" outlineLevel="0" max="6" min="6" style="0" width="9"/>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0" min="10" style="0" width="30"/>
    <col collapsed="false" customWidth="true" hidden="false" outlineLevel="0" max="11" min="11" style="0" width="55"/>
    <col collapsed="false" customWidth="true" hidden="false" outlineLevel="0" max="12" min="12" style="0" width="28"/>
    <col collapsed="false" customWidth="true" hidden="false" outlineLevel="0" max="13" min="13" style="0" width="45"/>
  </cols>
  <sheetData>
    <row r="1" customFormat="false" ht="17.35" hidden="false" customHeight="false" outlineLevel="0" collapsed="false">
      <c r="A1" s="1" t="s">
        <v>14</v>
      </c>
    </row>
    <row r="2" customFormat="false" ht="15" hidden="false" customHeight="false" outlineLevel="0" collapsed="false">
      <c r="A2" s="2" t="s">
        <v>15</v>
      </c>
    </row>
    <row r="4" customFormat="false" ht="39.55" hidden="false" customHeight="false" outlineLevel="0" collapsed="false">
      <c r="A4" s="9" t="s">
        <v>16</v>
      </c>
      <c r="B4" s="9" t="s">
        <v>17</v>
      </c>
      <c r="C4" s="9" t="s">
        <v>18</v>
      </c>
      <c r="D4" s="9" t="s">
        <v>19</v>
      </c>
      <c r="E4" s="9" t="s">
        <v>20</v>
      </c>
      <c r="F4" s="9" t="s">
        <v>21</v>
      </c>
      <c r="G4" s="9" t="s">
        <v>22</v>
      </c>
      <c r="H4" s="9" t="s">
        <v>23</v>
      </c>
      <c r="I4" s="9" t="s">
        <v>24</v>
      </c>
      <c r="J4" s="9" t="s">
        <v>25</v>
      </c>
      <c r="K4" s="9" t="s">
        <v>26</v>
      </c>
      <c r="L4" s="9" t="s">
        <v>27</v>
      </c>
      <c r="M4" s="9" t="s">
        <v>28</v>
      </c>
    </row>
    <row r="5" customFormat="false" ht="39.55" hidden="false" customHeight="false" outlineLevel="0" collapsed="false">
      <c r="A5" s="10" t="s">
        <v>29</v>
      </c>
      <c r="B5" s="5" t="s">
        <v>30</v>
      </c>
      <c r="C5" s="11" t="s">
        <v>31</v>
      </c>
      <c r="D5" s="5" t="s">
        <v>32</v>
      </c>
      <c r="E5" s="11" t="s">
        <v>33</v>
      </c>
      <c r="F5" s="12" t="n">
        <v>2</v>
      </c>
      <c r="G5" s="11" t="s">
        <v>34</v>
      </c>
      <c r="H5" s="13" t="s">
        <v>35</v>
      </c>
      <c r="I5" s="14" t="n">
        <v>46312</v>
      </c>
      <c r="J5" s="5" t="s">
        <v>36</v>
      </c>
      <c r="K5" s="5" t="s">
        <v>37</v>
      </c>
      <c r="L5" s="15" t="s">
        <v>36</v>
      </c>
      <c r="M5" s="15" t="s">
        <v>38</v>
      </c>
    </row>
    <row r="6" customFormat="false" ht="39.55" hidden="false" customHeight="false" outlineLevel="0" collapsed="false">
      <c r="A6" s="10" t="s">
        <v>39</v>
      </c>
      <c r="B6" s="5" t="s">
        <v>40</v>
      </c>
      <c r="C6" s="11" t="s">
        <v>31</v>
      </c>
      <c r="D6" s="5" t="s">
        <v>41</v>
      </c>
      <c r="E6" s="11" t="s">
        <v>33</v>
      </c>
      <c r="F6" s="12" t="n">
        <v>5</v>
      </c>
      <c r="G6" s="11" t="s">
        <v>34</v>
      </c>
      <c r="H6" s="13" t="s">
        <v>35</v>
      </c>
      <c r="I6" s="14" t="n">
        <v>46312</v>
      </c>
      <c r="J6" s="5" t="s">
        <v>42</v>
      </c>
      <c r="K6" s="5" t="s">
        <v>43</v>
      </c>
      <c r="L6" s="15" t="s">
        <v>44</v>
      </c>
      <c r="M6" s="15" t="s">
        <v>45</v>
      </c>
    </row>
    <row r="7" customFormat="false" ht="39.55" hidden="false" customHeight="false" outlineLevel="0" collapsed="false">
      <c r="A7" s="10" t="s">
        <v>46</v>
      </c>
      <c r="B7" s="5" t="s">
        <v>47</v>
      </c>
      <c r="C7" s="11" t="s">
        <v>31</v>
      </c>
      <c r="D7" s="5" t="s">
        <v>41</v>
      </c>
      <c r="E7" s="11" t="s">
        <v>33</v>
      </c>
      <c r="F7" s="12" t="n">
        <v>3</v>
      </c>
      <c r="G7" s="11" t="s">
        <v>34</v>
      </c>
      <c r="H7" s="13" t="s">
        <v>35</v>
      </c>
      <c r="I7" s="14" t="n">
        <v>46312</v>
      </c>
      <c r="J7" s="5" t="s">
        <v>42</v>
      </c>
      <c r="K7" s="5" t="s">
        <v>48</v>
      </c>
      <c r="L7" s="15" t="s">
        <v>49</v>
      </c>
      <c r="M7" s="15" t="s">
        <v>50</v>
      </c>
    </row>
    <row r="8" customFormat="false" ht="52.2" hidden="false" customHeight="false" outlineLevel="0" collapsed="false">
      <c r="A8" s="10" t="s">
        <v>51</v>
      </c>
      <c r="B8" s="5" t="s">
        <v>52</v>
      </c>
      <c r="C8" s="11" t="s">
        <v>31</v>
      </c>
      <c r="D8" s="5" t="s">
        <v>41</v>
      </c>
      <c r="E8" s="11" t="s">
        <v>33</v>
      </c>
      <c r="F8" s="12" t="n">
        <v>3</v>
      </c>
      <c r="G8" s="11" t="s">
        <v>34</v>
      </c>
      <c r="H8" s="13" t="s">
        <v>35</v>
      </c>
      <c r="I8" s="14" t="n">
        <v>46312</v>
      </c>
      <c r="J8" s="5" t="s">
        <v>42</v>
      </c>
      <c r="K8" s="5" t="s">
        <v>53</v>
      </c>
      <c r="L8" s="15" t="s">
        <v>54</v>
      </c>
      <c r="M8" s="15" t="s">
        <v>55</v>
      </c>
    </row>
    <row r="9" customFormat="false" ht="64.9" hidden="false" customHeight="false" outlineLevel="0" collapsed="false">
      <c r="A9" s="10" t="s">
        <v>56</v>
      </c>
      <c r="B9" s="5" t="s">
        <v>57</v>
      </c>
      <c r="C9" s="11" t="s">
        <v>31</v>
      </c>
      <c r="D9" s="5" t="s">
        <v>58</v>
      </c>
      <c r="E9" s="11" t="s">
        <v>33</v>
      </c>
      <c r="F9" s="12" t="n">
        <v>1</v>
      </c>
      <c r="G9" s="11" t="s">
        <v>59</v>
      </c>
      <c r="H9" s="13" t="s">
        <v>35</v>
      </c>
      <c r="I9" s="14" t="n">
        <v>46313</v>
      </c>
      <c r="J9" s="5" t="s">
        <v>60</v>
      </c>
      <c r="K9" s="5" t="s">
        <v>61</v>
      </c>
      <c r="L9" s="15" t="s">
        <v>62</v>
      </c>
      <c r="M9" s="15" t="s">
        <v>63</v>
      </c>
    </row>
    <row r="10" customFormat="false" ht="115.65" hidden="false" customHeight="false" outlineLevel="0" collapsed="false">
      <c r="A10" s="10" t="s">
        <v>64</v>
      </c>
      <c r="B10" s="5" t="s">
        <v>65</v>
      </c>
      <c r="C10" s="11" t="s">
        <v>66</v>
      </c>
      <c r="D10" s="5" t="s">
        <v>67</v>
      </c>
      <c r="E10" s="11" t="s">
        <v>33</v>
      </c>
      <c r="F10" s="12" t="n">
        <v>3</v>
      </c>
      <c r="G10" s="11" t="s">
        <v>59</v>
      </c>
      <c r="H10" s="13" t="s">
        <v>35</v>
      </c>
      <c r="I10" s="14" t="n">
        <v>46313</v>
      </c>
      <c r="J10" s="5" t="s">
        <v>68</v>
      </c>
      <c r="K10" s="5" t="s">
        <v>69</v>
      </c>
      <c r="L10" s="15" t="s">
        <v>70</v>
      </c>
      <c r="M10" s="15" t="s">
        <v>71</v>
      </c>
    </row>
    <row r="11" customFormat="false" ht="115.65" hidden="false" customHeight="false" outlineLevel="0" collapsed="false">
      <c r="A11" s="10" t="s">
        <v>72</v>
      </c>
      <c r="B11" s="5" t="s">
        <v>73</v>
      </c>
      <c r="C11" s="11" t="s">
        <v>66</v>
      </c>
      <c r="D11" s="5" t="s">
        <v>67</v>
      </c>
      <c r="E11" s="11" t="s">
        <v>33</v>
      </c>
      <c r="F11" s="12" t="n">
        <v>5</v>
      </c>
      <c r="G11" s="11" t="s">
        <v>59</v>
      </c>
      <c r="H11" s="13" t="s">
        <v>35</v>
      </c>
      <c r="I11" s="14" t="n">
        <v>46313</v>
      </c>
      <c r="J11" s="5" t="s">
        <v>68</v>
      </c>
      <c r="K11" s="5" t="s">
        <v>74</v>
      </c>
      <c r="L11" s="15" t="s">
        <v>75</v>
      </c>
      <c r="M11" s="15" t="s">
        <v>76</v>
      </c>
    </row>
    <row r="12" customFormat="false" ht="141" hidden="false" customHeight="false" outlineLevel="0" collapsed="false">
      <c r="A12" s="10" t="s">
        <v>77</v>
      </c>
      <c r="B12" s="5" t="s">
        <v>78</v>
      </c>
      <c r="C12" s="11" t="s">
        <v>66</v>
      </c>
      <c r="D12" s="5" t="s">
        <v>67</v>
      </c>
      <c r="E12" s="11" t="s">
        <v>33</v>
      </c>
      <c r="F12" s="12" t="n">
        <v>3</v>
      </c>
      <c r="G12" s="11" t="s">
        <v>59</v>
      </c>
      <c r="H12" s="13" t="s">
        <v>35</v>
      </c>
      <c r="I12" s="14" t="n">
        <v>46314</v>
      </c>
      <c r="J12" s="5" t="s">
        <v>68</v>
      </c>
      <c r="K12" s="5" t="s">
        <v>79</v>
      </c>
      <c r="L12" s="15" t="s">
        <v>80</v>
      </c>
      <c r="M12" s="15" t="s">
        <v>81</v>
      </c>
    </row>
    <row r="13" customFormat="false" ht="102.95" hidden="false" customHeight="false" outlineLevel="0" collapsed="false">
      <c r="A13" s="10" t="s">
        <v>82</v>
      </c>
      <c r="B13" s="5" t="s">
        <v>83</v>
      </c>
      <c r="C13" s="11" t="s">
        <v>66</v>
      </c>
      <c r="D13" s="5" t="s">
        <v>67</v>
      </c>
      <c r="E13" s="11" t="s">
        <v>33</v>
      </c>
      <c r="F13" s="12" t="n">
        <v>3</v>
      </c>
      <c r="G13" s="11" t="s">
        <v>59</v>
      </c>
      <c r="H13" s="13" t="s">
        <v>35</v>
      </c>
      <c r="I13" s="14" t="n">
        <v>46314</v>
      </c>
      <c r="J13" s="5" t="s">
        <v>84</v>
      </c>
      <c r="K13" s="5" t="s">
        <v>85</v>
      </c>
      <c r="L13" s="15" t="s">
        <v>86</v>
      </c>
      <c r="M13" s="15" t="s">
        <v>87</v>
      </c>
    </row>
    <row r="14" customFormat="false" ht="90.25" hidden="false" customHeight="false" outlineLevel="0" collapsed="false">
      <c r="A14" s="10" t="s">
        <v>88</v>
      </c>
      <c r="B14" s="5" t="s">
        <v>89</v>
      </c>
      <c r="C14" s="11" t="s">
        <v>66</v>
      </c>
      <c r="D14" s="5" t="s">
        <v>90</v>
      </c>
      <c r="E14" s="11" t="s">
        <v>33</v>
      </c>
      <c r="F14" s="12" t="n">
        <v>5</v>
      </c>
      <c r="G14" s="11" t="s">
        <v>59</v>
      </c>
      <c r="H14" s="13" t="s">
        <v>35</v>
      </c>
      <c r="I14" s="14" t="n">
        <v>46315</v>
      </c>
      <c r="J14" s="5" t="s">
        <v>91</v>
      </c>
      <c r="K14" s="5" t="s">
        <v>92</v>
      </c>
      <c r="L14" s="15" t="s">
        <v>93</v>
      </c>
      <c r="M14" s="15" t="s">
        <v>94</v>
      </c>
    </row>
    <row r="15" customFormat="false" ht="90.25" hidden="false" customHeight="false" outlineLevel="0" collapsed="false">
      <c r="A15" s="10" t="s">
        <v>95</v>
      </c>
      <c r="B15" s="5" t="s">
        <v>96</v>
      </c>
      <c r="C15" s="11" t="s">
        <v>66</v>
      </c>
      <c r="D15" s="5" t="s">
        <v>90</v>
      </c>
      <c r="E15" s="11" t="s">
        <v>33</v>
      </c>
      <c r="F15" s="12" t="n">
        <v>5</v>
      </c>
      <c r="G15" s="11" t="s">
        <v>59</v>
      </c>
      <c r="H15" s="13" t="s">
        <v>35</v>
      </c>
      <c r="I15" s="14" t="n">
        <v>46315</v>
      </c>
      <c r="J15" s="5" t="s">
        <v>91</v>
      </c>
      <c r="K15" s="5" t="s">
        <v>97</v>
      </c>
      <c r="L15" s="15" t="s">
        <v>93</v>
      </c>
      <c r="M15" s="15" t="s">
        <v>98</v>
      </c>
    </row>
    <row r="16" customFormat="false" ht="64.9" hidden="false" customHeight="false" outlineLevel="0" collapsed="false">
      <c r="A16" s="10" t="s">
        <v>99</v>
      </c>
      <c r="B16" s="5" t="s">
        <v>100</v>
      </c>
      <c r="C16" s="11" t="s">
        <v>66</v>
      </c>
      <c r="D16" s="5" t="s">
        <v>90</v>
      </c>
      <c r="E16" s="11" t="s">
        <v>33</v>
      </c>
      <c r="F16" s="12" t="n">
        <v>3</v>
      </c>
      <c r="G16" s="11" t="s">
        <v>59</v>
      </c>
      <c r="H16" s="13" t="s">
        <v>35</v>
      </c>
      <c r="I16" s="14" t="n">
        <v>46315</v>
      </c>
      <c r="J16" s="5" t="s">
        <v>91</v>
      </c>
      <c r="K16" s="5" t="s">
        <v>101</v>
      </c>
      <c r="L16" s="15" t="s">
        <v>93</v>
      </c>
      <c r="M16" s="15" t="s">
        <v>102</v>
      </c>
    </row>
    <row r="17" customFormat="false" ht="39.55" hidden="false" customHeight="false" outlineLevel="0" collapsed="false">
      <c r="A17" s="10" t="s">
        <v>103</v>
      </c>
      <c r="B17" s="5" t="s">
        <v>104</v>
      </c>
      <c r="C17" s="11" t="s">
        <v>31</v>
      </c>
      <c r="D17" s="5" t="s">
        <v>90</v>
      </c>
      <c r="E17" s="11" t="s">
        <v>33</v>
      </c>
      <c r="F17" s="12" t="n">
        <v>2</v>
      </c>
      <c r="G17" s="11" t="s">
        <v>59</v>
      </c>
      <c r="H17" s="13" t="s">
        <v>35</v>
      </c>
      <c r="I17" s="14" t="n">
        <v>46315</v>
      </c>
      <c r="J17" s="5" t="s">
        <v>91</v>
      </c>
      <c r="K17" s="5" t="s">
        <v>105</v>
      </c>
      <c r="L17" s="15" t="s">
        <v>93</v>
      </c>
      <c r="M17" s="15" t="s">
        <v>106</v>
      </c>
    </row>
    <row r="18" customFormat="false" ht="52.2" hidden="false" customHeight="false" outlineLevel="0" collapsed="false">
      <c r="A18" s="10" t="s">
        <v>107</v>
      </c>
      <c r="B18" s="5" t="s">
        <v>108</v>
      </c>
      <c r="C18" s="11" t="s">
        <v>31</v>
      </c>
      <c r="D18" s="5" t="s">
        <v>109</v>
      </c>
      <c r="E18" s="11" t="s">
        <v>33</v>
      </c>
      <c r="F18" s="12" t="n">
        <v>1</v>
      </c>
      <c r="G18" s="11" t="s">
        <v>59</v>
      </c>
      <c r="H18" s="13" t="s">
        <v>35</v>
      </c>
      <c r="I18" s="14" t="n">
        <v>46315</v>
      </c>
      <c r="J18" s="5" t="s">
        <v>110</v>
      </c>
      <c r="K18" s="5" t="s">
        <v>111</v>
      </c>
      <c r="L18" s="15" t="s">
        <v>93</v>
      </c>
      <c r="M18" s="15" t="s">
        <v>112</v>
      </c>
    </row>
    <row r="19" customFormat="false" ht="115.65" hidden="false" customHeight="false" outlineLevel="0" collapsed="false">
      <c r="A19" s="10" t="s">
        <v>113</v>
      </c>
      <c r="B19" s="5" t="s">
        <v>114</v>
      </c>
      <c r="C19" s="11" t="s">
        <v>66</v>
      </c>
      <c r="D19" s="5" t="s">
        <v>115</v>
      </c>
      <c r="E19" s="11" t="s">
        <v>33</v>
      </c>
      <c r="F19" s="12" t="n">
        <v>3</v>
      </c>
      <c r="G19" s="11" t="s">
        <v>116</v>
      </c>
      <c r="H19" s="13" t="s">
        <v>35</v>
      </c>
      <c r="I19" s="14" t="n">
        <v>46316</v>
      </c>
      <c r="J19" s="5" t="s">
        <v>117</v>
      </c>
      <c r="K19" s="5" t="s">
        <v>118</v>
      </c>
      <c r="L19" s="15" t="s">
        <v>119</v>
      </c>
      <c r="M19" s="15" t="s">
        <v>120</v>
      </c>
    </row>
    <row r="20" customFormat="false" ht="179.1" hidden="false" customHeight="false" outlineLevel="0" collapsed="false">
      <c r="A20" s="10" t="s">
        <v>121</v>
      </c>
      <c r="B20" s="5" t="s">
        <v>122</v>
      </c>
      <c r="C20" s="11" t="s">
        <v>66</v>
      </c>
      <c r="D20" s="5" t="s">
        <v>115</v>
      </c>
      <c r="E20" s="11" t="s">
        <v>33</v>
      </c>
      <c r="F20" s="12" t="n">
        <v>8</v>
      </c>
      <c r="G20" s="11" t="s">
        <v>116</v>
      </c>
      <c r="H20" s="13" t="s">
        <v>35</v>
      </c>
      <c r="I20" s="14" t="n">
        <v>46316</v>
      </c>
      <c r="J20" s="5" t="s">
        <v>123</v>
      </c>
      <c r="K20" s="5" t="s">
        <v>124</v>
      </c>
      <c r="L20" s="15" t="s">
        <v>119</v>
      </c>
      <c r="M20" s="15" t="s">
        <v>125</v>
      </c>
    </row>
    <row r="21" customFormat="false" ht="166.4" hidden="false" customHeight="false" outlineLevel="0" collapsed="false">
      <c r="A21" s="10" t="s">
        <v>126</v>
      </c>
      <c r="B21" s="5" t="s">
        <v>127</v>
      </c>
      <c r="C21" s="11" t="s">
        <v>66</v>
      </c>
      <c r="D21" s="5" t="s">
        <v>115</v>
      </c>
      <c r="E21" s="11" t="s">
        <v>33</v>
      </c>
      <c r="F21" s="12" t="n">
        <v>5</v>
      </c>
      <c r="G21" s="11" t="s">
        <v>116</v>
      </c>
      <c r="H21" s="13" t="s">
        <v>35</v>
      </c>
      <c r="I21" s="14" t="n">
        <v>46316</v>
      </c>
      <c r="J21" s="5" t="s">
        <v>123</v>
      </c>
      <c r="K21" s="5" t="s">
        <v>128</v>
      </c>
      <c r="L21" s="15" t="s">
        <v>129</v>
      </c>
      <c r="M21" s="15" t="s">
        <v>130</v>
      </c>
    </row>
    <row r="22" customFormat="false" ht="191.75" hidden="false" customHeight="false" outlineLevel="0" collapsed="false">
      <c r="A22" s="10" t="s">
        <v>131</v>
      </c>
      <c r="B22" s="5" t="s">
        <v>132</v>
      </c>
      <c r="C22" s="11" t="s">
        <v>66</v>
      </c>
      <c r="D22" s="5" t="s">
        <v>115</v>
      </c>
      <c r="E22" s="11" t="s">
        <v>33</v>
      </c>
      <c r="F22" s="12" t="n">
        <v>5</v>
      </c>
      <c r="G22" s="11" t="s">
        <v>116</v>
      </c>
      <c r="H22" s="13" t="s">
        <v>35</v>
      </c>
      <c r="I22" s="14" t="n">
        <v>46316</v>
      </c>
      <c r="J22" s="5" t="s">
        <v>133</v>
      </c>
      <c r="K22" s="5" t="s">
        <v>134</v>
      </c>
      <c r="L22" s="15" t="s">
        <v>119</v>
      </c>
      <c r="M22" s="15" t="s">
        <v>135</v>
      </c>
    </row>
    <row r="23" customFormat="false" ht="191.75" hidden="false" customHeight="false" outlineLevel="0" collapsed="false">
      <c r="A23" s="10" t="s">
        <v>136</v>
      </c>
      <c r="B23" s="5" t="s">
        <v>137</v>
      </c>
      <c r="C23" s="11" t="s">
        <v>66</v>
      </c>
      <c r="D23" s="5" t="s">
        <v>115</v>
      </c>
      <c r="E23" s="11" t="s">
        <v>33</v>
      </c>
      <c r="F23" s="12" t="n">
        <v>3</v>
      </c>
      <c r="G23" s="11" t="s">
        <v>116</v>
      </c>
      <c r="H23" s="13" t="s">
        <v>35</v>
      </c>
      <c r="I23" s="14" t="n">
        <v>46316</v>
      </c>
      <c r="J23" s="5" t="s">
        <v>117</v>
      </c>
      <c r="K23" s="5" t="s">
        <v>138</v>
      </c>
      <c r="L23" s="15" t="s">
        <v>139</v>
      </c>
      <c r="M23" s="15" t="s">
        <v>140</v>
      </c>
    </row>
    <row r="24" customFormat="false" ht="26.85" hidden="false" customHeight="false" outlineLevel="0" collapsed="false">
      <c r="A24" s="10" t="s">
        <v>141</v>
      </c>
      <c r="B24" s="5" t="s">
        <v>142</v>
      </c>
      <c r="C24" s="11" t="s">
        <v>66</v>
      </c>
      <c r="D24" s="5" t="s">
        <v>115</v>
      </c>
      <c r="E24" s="11" t="s">
        <v>33</v>
      </c>
      <c r="F24" s="12" t="n">
        <v>5</v>
      </c>
      <c r="G24" s="11" t="s">
        <v>116</v>
      </c>
      <c r="H24" s="13" t="s">
        <v>143</v>
      </c>
      <c r="I24" s="14"/>
      <c r="J24" s="5" t="s">
        <v>144</v>
      </c>
      <c r="K24" s="5" t="s">
        <v>145</v>
      </c>
      <c r="L24" s="15"/>
      <c r="M24" s="15"/>
    </row>
    <row r="25" customFormat="false" ht="39.55" hidden="false" customHeight="false" outlineLevel="0" collapsed="false">
      <c r="A25" s="10" t="s">
        <v>146</v>
      </c>
      <c r="B25" s="5" t="s">
        <v>147</v>
      </c>
      <c r="C25" s="11" t="s">
        <v>66</v>
      </c>
      <c r="D25" s="5" t="s">
        <v>115</v>
      </c>
      <c r="E25" s="11" t="s">
        <v>33</v>
      </c>
      <c r="F25" s="12" t="n">
        <v>5</v>
      </c>
      <c r="G25" s="11" t="s">
        <v>116</v>
      </c>
      <c r="H25" s="13" t="s">
        <v>143</v>
      </c>
      <c r="I25" s="14"/>
      <c r="J25" s="5" t="s">
        <v>144</v>
      </c>
      <c r="K25" s="5" t="s">
        <v>148</v>
      </c>
      <c r="L25" s="15"/>
      <c r="M25" s="15"/>
    </row>
    <row r="26" customFormat="false" ht="141" hidden="false" customHeight="false" outlineLevel="0" collapsed="false">
      <c r="A26" s="10" t="s">
        <v>149</v>
      </c>
      <c r="B26" s="5" t="s">
        <v>150</v>
      </c>
      <c r="C26" s="11" t="s">
        <v>31</v>
      </c>
      <c r="D26" s="5" t="s">
        <v>151</v>
      </c>
      <c r="E26" s="11" t="s">
        <v>33</v>
      </c>
      <c r="F26" s="12" t="n">
        <v>3</v>
      </c>
      <c r="G26" s="11" t="s">
        <v>116</v>
      </c>
      <c r="H26" s="13" t="s">
        <v>35</v>
      </c>
      <c r="I26" s="14" t="n">
        <v>46316</v>
      </c>
      <c r="J26" s="5" t="s">
        <v>152</v>
      </c>
      <c r="K26" s="5" t="s">
        <v>153</v>
      </c>
      <c r="L26" s="15" t="s">
        <v>119</v>
      </c>
      <c r="M26" s="15" t="s">
        <v>154</v>
      </c>
    </row>
    <row r="27" customFormat="false" ht="26.85" hidden="false" customHeight="false" outlineLevel="0" collapsed="false">
      <c r="A27" s="10" t="s">
        <v>155</v>
      </c>
      <c r="B27" s="5" t="s">
        <v>156</v>
      </c>
      <c r="C27" s="11" t="s">
        <v>66</v>
      </c>
      <c r="D27" s="5" t="s">
        <v>157</v>
      </c>
      <c r="E27" s="11" t="s">
        <v>33</v>
      </c>
      <c r="F27" s="12" t="n">
        <v>3</v>
      </c>
      <c r="G27" s="11" t="s">
        <v>158</v>
      </c>
      <c r="H27" s="13" t="s">
        <v>143</v>
      </c>
      <c r="I27" s="14"/>
      <c r="J27" s="5" t="s">
        <v>159</v>
      </c>
      <c r="K27" s="5" t="s">
        <v>160</v>
      </c>
      <c r="L27" s="15"/>
      <c r="M27" s="15"/>
    </row>
    <row r="28" customFormat="false" ht="26.85" hidden="false" customHeight="false" outlineLevel="0" collapsed="false">
      <c r="A28" s="10" t="s">
        <v>161</v>
      </c>
      <c r="B28" s="5" t="s">
        <v>162</v>
      </c>
      <c r="C28" s="11" t="s">
        <v>66</v>
      </c>
      <c r="D28" s="5" t="s">
        <v>157</v>
      </c>
      <c r="E28" s="11" t="s">
        <v>33</v>
      </c>
      <c r="F28" s="12" t="n">
        <v>3</v>
      </c>
      <c r="G28" s="11" t="s">
        <v>158</v>
      </c>
      <c r="H28" s="13" t="s">
        <v>143</v>
      </c>
      <c r="I28" s="14"/>
      <c r="J28" s="5" t="s">
        <v>84</v>
      </c>
      <c r="K28" s="5" t="s">
        <v>163</v>
      </c>
      <c r="L28" s="15"/>
      <c r="M28" s="15"/>
    </row>
    <row r="29" customFormat="false" ht="39.55" hidden="false" customHeight="false" outlineLevel="0" collapsed="false">
      <c r="A29" s="10" t="s">
        <v>164</v>
      </c>
      <c r="B29" s="5" t="s">
        <v>165</v>
      </c>
      <c r="C29" s="11" t="s">
        <v>66</v>
      </c>
      <c r="D29" s="5" t="s">
        <v>157</v>
      </c>
      <c r="E29" s="11" t="s">
        <v>33</v>
      </c>
      <c r="F29" s="12" t="n">
        <v>8</v>
      </c>
      <c r="G29" s="11" t="s">
        <v>158</v>
      </c>
      <c r="H29" s="13" t="s">
        <v>143</v>
      </c>
      <c r="I29" s="14"/>
      <c r="J29" s="5" t="s">
        <v>166</v>
      </c>
      <c r="K29" s="5" t="s">
        <v>167</v>
      </c>
      <c r="L29" s="15"/>
      <c r="M29" s="15"/>
    </row>
    <row r="30" customFormat="false" ht="26.85" hidden="false" customHeight="false" outlineLevel="0" collapsed="false">
      <c r="A30" s="10" t="s">
        <v>168</v>
      </c>
      <c r="B30" s="5" t="s">
        <v>169</v>
      </c>
      <c r="C30" s="11" t="s">
        <v>66</v>
      </c>
      <c r="D30" s="5" t="s">
        <v>157</v>
      </c>
      <c r="E30" s="11" t="s">
        <v>33</v>
      </c>
      <c r="F30" s="12" t="n">
        <v>3</v>
      </c>
      <c r="G30" s="11" t="s">
        <v>158</v>
      </c>
      <c r="H30" s="13" t="s">
        <v>143</v>
      </c>
      <c r="I30" s="14"/>
      <c r="J30" s="5" t="s">
        <v>117</v>
      </c>
      <c r="K30" s="5" t="s">
        <v>170</v>
      </c>
      <c r="L30" s="15"/>
      <c r="M30" s="15"/>
    </row>
    <row r="31" customFormat="false" ht="26.85" hidden="false" customHeight="false" outlineLevel="0" collapsed="false">
      <c r="A31" s="10" t="s">
        <v>171</v>
      </c>
      <c r="B31" s="5" t="s">
        <v>172</v>
      </c>
      <c r="C31" s="11" t="s">
        <v>66</v>
      </c>
      <c r="D31" s="5" t="s">
        <v>157</v>
      </c>
      <c r="E31" s="11" t="s">
        <v>33</v>
      </c>
      <c r="F31" s="12" t="n">
        <v>2</v>
      </c>
      <c r="G31" s="11" t="s">
        <v>158</v>
      </c>
      <c r="H31" s="13" t="s">
        <v>143</v>
      </c>
      <c r="I31" s="14"/>
      <c r="J31" s="5" t="s">
        <v>133</v>
      </c>
      <c r="K31" s="5" t="s">
        <v>173</v>
      </c>
      <c r="L31" s="15"/>
      <c r="M31" s="15"/>
    </row>
    <row r="32" customFormat="false" ht="26.85" hidden="false" customHeight="false" outlineLevel="0" collapsed="false">
      <c r="A32" s="10" t="s">
        <v>174</v>
      </c>
      <c r="B32" s="5" t="s">
        <v>175</v>
      </c>
      <c r="C32" s="11" t="s">
        <v>66</v>
      </c>
      <c r="D32" s="5" t="s">
        <v>157</v>
      </c>
      <c r="E32" s="11" t="s">
        <v>33</v>
      </c>
      <c r="F32" s="12" t="n">
        <v>5</v>
      </c>
      <c r="G32" s="11" t="s">
        <v>158</v>
      </c>
      <c r="H32" s="13" t="s">
        <v>143</v>
      </c>
      <c r="I32" s="14"/>
      <c r="J32" s="5" t="s">
        <v>176</v>
      </c>
      <c r="K32" s="5" t="s">
        <v>177</v>
      </c>
      <c r="L32" s="15"/>
      <c r="M32" s="15"/>
    </row>
    <row r="33" customFormat="false" ht="26.85" hidden="false" customHeight="false" outlineLevel="0" collapsed="false">
      <c r="A33" s="10" t="s">
        <v>178</v>
      </c>
      <c r="B33" s="5" t="s">
        <v>179</v>
      </c>
      <c r="C33" s="11" t="s">
        <v>66</v>
      </c>
      <c r="D33" s="5" t="s">
        <v>157</v>
      </c>
      <c r="E33" s="11" t="s">
        <v>33</v>
      </c>
      <c r="F33" s="12" t="n">
        <v>2</v>
      </c>
      <c r="G33" s="11" t="s">
        <v>158</v>
      </c>
      <c r="H33" s="13" t="s">
        <v>143</v>
      </c>
      <c r="I33" s="14"/>
      <c r="J33" s="5" t="s">
        <v>159</v>
      </c>
      <c r="K33" s="5" t="s">
        <v>180</v>
      </c>
      <c r="L33" s="15"/>
      <c r="M33" s="15"/>
    </row>
    <row r="34" customFormat="false" ht="26.85" hidden="false" customHeight="false" outlineLevel="0" collapsed="false">
      <c r="A34" s="10" t="s">
        <v>181</v>
      </c>
      <c r="B34" s="5" t="s">
        <v>182</v>
      </c>
      <c r="C34" s="11" t="s">
        <v>31</v>
      </c>
      <c r="D34" s="5" t="s">
        <v>183</v>
      </c>
      <c r="E34" s="11" t="s">
        <v>184</v>
      </c>
      <c r="F34" s="12" t="n">
        <v>3</v>
      </c>
      <c r="G34" s="11" t="s">
        <v>185</v>
      </c>
      <c r="H34" s="13" t="s">
        <v>143</v>
      </c>
      <c r="I34" s="14"/>
      <c r="J34" s="5" t="s">
        <v>186</v>
      </c>
      <c r="K34" s="5" t="s">
        <v>187</v>
      </c>
      <c r="L34" s="15"/>
      <c r="M34" s="15"/>
    </row>
    <row r="35" customFormat="false" ht="39.55" hidden="false" customHeight="false" outlineLevel="0" collapsed="false">
      <c r="A35" s="10" t="s">
        <v>188</v>
      </c>
      <c r="B35" s="5" t="s">
        <v>189</v>
      </c>
      <c r="C35" s="11" t="s">
        <v>31</v>
      </c>
      <c r="D35" s="5" t="s">
        <v>58</v>
      </c>
      <c r="E35" s="11" t="s">
        <v>33</v>
      </c>
      <c r="F35" s="12" t="n">
        <v>3</v>
      </c>
      <c r="G35" s="11" t="s">
        <v>185</v>
      </c>
      <c r="H35" s="13" t="s">
        <v>143</v>
      </c>
      <c r="I35" s="14"/>
      <c r="J35" s="5" t="s">
        <v>60</v>
      </c>
      <c r="K35" s="5" t="s">
        <v>190</v>
      </c>
      <c r="L35" s="15"/>
      <c r="M35" s="15"/>
    </row>
    <row r="36" customFormat="false" ht="26.85" hidden="false" customHeight="false" outlineLevel="0" collapsed="false">
      <c r="A36" s="10" t="s">
        <v>191</v>
      </c>
      <c r="B36" s="5" t="s">
        <v>192</v>
      </c>
      <c r="C36" s="11" t="s">
        <v>31</v>
      </c>
      <c r="D36" s="5" t="s">
        <v>109</v>
      </c>
      <c r="E36" s="11" t="s">
        <v>33</v>
      </c>
      <c r="F36" s="12" t="n">
        <v>2</v>
      </c>
      <c r="G36" s="11" t="s">
        <v>185</v>
      </c>
      <c r="H36" s="13" t="s">
        <v>143</v>
      </c>
      <c r="I36" s="14"/>
      <c r="J36" s="5" t="s">
        <v>193</v>
      </c>
      <c r="K36" s="5" t="s">
        <v>194</v>
      </c>
      <c r="L36" s="15"/>
      <c r="M36" s="15"/>
    </row>
    <row r="37" customFormat="false" ht="26.85" hidden="false" customHeight="false" outlineLevel="0" collapsed="false">
      <c r="A37" s="10" t="s">
        <v>195</v>
      </c>
      <c r="B37" s="5" t="s">
        <v>196</v>
      </c>
      <c r="C37" s="11" t="s">
        <v>31</v>
      </c>
      <c r="D37" s="5" t="s">
        <v>186</v>
      </c>
      <c r="E37" s="11" t="s">
        <v>184</v>
      </c>
      <c r="F37" s="12" t="n">
        <v>2</v>
      </c>
      <c r="G37" s="11" t="s">
        <v>185</v>
      </c>
      <c r="H37" s="13" t="s">
        <v>143</v>
      </c>
      <c r="I37" s="14"/>
      <c r="J37" s="5" t="s">
        <v>186</v>
      </c>
      <c r="K37" s="5" t="s">
        <v>197</v>
      </c>
      <c r="L37" s="15"/>
      <c r="M37" s="15"/>
    </row>
    <row r="38" customFormat="false" ht="39.55" hidden="false" customHeight="false" outlineLevel="0" collapsed="false">
      <c r="A38" s="10" t="s">
        <v>198</v>
      </c>
      <c r="B38" s="5" t="s">
        <v>199</v>
      </c>
      <c r="C38" s="11" t="s">
        <v>31</v>
      </c>
      <c r="D38" s="5" t="s">
        <v>90</v>
      </c>
      <c r="E38" s="11" t="s">
        <v>184</v>
      </c>
      <c r="F38" s="12" t="n">
        <v>3</v>
      </c>
      <c r="G38" s="11" t="s">
        <v>116</v>
      </c>
      <c r="H38" s="13" t="s">
        <v>143</v>
      </c>
      <c r="I38" s="14"/>
      <c r="J38" s="5" t="s">
        <v>91</v>
      </c>
      <c r="K38" s="5" t="s">
        <v>200</v>
      </c>
      <c r="L38" s="15"/>
      <c r="M38" s="15" t="s">
        <v>201</v>
      </c>
    </row>
    <row r="39" customFormat="false" ht="26.85" hidden="false" customHeight="false" outlineLevel="0" collapsed="false">
      <c r="A39" s="10" t="s">
        <v>202</v>
      </c>
      <c r="B39" s="5" t="s">
        <v>203</v>
      </c>
      <c r="C39" s="11" t="s">
        <v>31</v>
      </c>
      <c r="D39" s="5" t="s">
        <v>115</v>
      </c>
      <c r="E39" s="11" t="s">
        <v>204</v>
      </c>
      <c r="F39" s="12" t="n">
        <v>3</v>
      </c>
      <c r="G39" s="11" t="s">
        <v>185</v>
      </c>
      <c r="H39" s="13" t="s">
        <v>143</v>
      </c>
      <c r="I39" s="14"/>
      <c r="J39" s="5" t="s">
        <v>123</v>
      </c>
      <c r="K39" s="5" t="s">
        <v>205</v>
      </c>
      <c r="L39" s="15"/>
      <c r="M39" s="15"/>
    </row>
    <row r="40" customFormat="false" ht="102.95" hidden="false" customHeight="false" outlineLevel="0" collapsed="false">
      <c r="A40" s="10" t="s">
        <v>206</v>
      </c>
      <c r="B40" s="5" t="s">
        <v>207</v>
      </c>
      <c r="C40" s="11" t="s">
        <v>66</v>
      </c>
      <c r="D40" s="5" t="s">
        <v>115</v>
      </c>
      <c r="E40" s="11" t="s">
        <v>204</v>
      </c>
      <c r="F40" s="12" t="n">
        <v>3</v>
      </c>
      <c r="G40" s="11" t="s">
        <v>185</v>
      </c>
      <c r="H40" s="13" t="s">
        <v>143</v>
      </c>
      <c r="I40" s="14"/>
      <c r="J40" s="5" t="s">
        <v>117</v>
      </c>
      <c r="K40" s="5" t="s">
        <v>208</v>
      </c>
      <c r="L40" s="15"/>
      <c r="M40" s="15" t="s">
        <v>209</v>
      </c>
    </row>
    <row r="41" customFormat="false" ht="90.25" hidden="false" customHeight="false" outlineLevel="0" collapsed="false">
      <c r="A41" s="10" t="s">
        <v>210</v>
      </c>
      <c r="B41" s="5" t="s">
        <v>211</v>
      </c>
      <c r="C41" s="11" t="s">
        <v>66</v>
      </c>
      <c r="D41" s="5" t="s">
        <v>115</v>
      </c>
      <c r="E41" s="11" t="s">
        <v>184</v>
      </c>
      <c r="F41" s="12" t="n">
        <v>3</v>
      </c>
      <c r="G41" s="11" t="s">
        <v>116</v>
      </c>
      <c r="H41" s="13" t="s">
        <v>143</v>
      </c>
      <c r="I41" s="14"/>
      <c r="J41" s="5" t="s">
        <v>133</v>
      </c>
      <c r="K41" s="5" t="s">
        <v>212</v>
      </c>
      <c r="L41" s="15"/>
      <c r="M41" s="15" t="s">
        <v>213</v>
      </c>
    </row>
  </sheetData>
  <autoFilter ref="A4:M41"/>
  <conditionalFormatting sqref="H5:H41">
    <cfRule type="cellIs" priority="2" operator="equal" aboveAverage="0" equalAverage="0" bottom="0" percent="0" rank="0" text="" dxfId="7">
      <formula>"Hecho"</formula>
    </cfRule>
    <cfRule type="cellIs" priority="3" operator="equal" aboveAverage="0" equalAverage="0" bottom="0" percent="0" rank="0" text="" dxfId="8">
      <formula>"En curso"</formula>
    </cfRule>
    <cfRule type="cellIs" priority="4" operator="equal" aboveAverage="0" equalAverage="0" bottom="0" percent="0" rank="0" text="" dxfId="9">
      <formula>"Bloqueado"</formula>
    </cfRule>
  </conditionalFormatting>
  <dataValidations count="3">
    <dataValidation allowBlank="false" errorStyle="stop" operator="between" showDropDown="false" showErrorMessage="false" showInputMessage="false" sqref="H5:H41" type="list">
      <formula1>"Pendiente,En curso,Hecho,Bloqueado"</formula1>
      <formula2>0</formula2>
    </dataValidation>
    <dataValidation allowBlank="false" errorStyle="stop" operator="between" showDropDown="false" showErrorMessage="false" showInputMessage="false" sqref="G5:G41" type="list">
      <formula1>Sprints!$A$5:$A$9</formula1>
      <formula2>0</formula2>
    </dataValidation>
    <dataValidation allowBlank="false" errorStyle="stop" operator="between" showDropDown="false" showErrorMessage="false" showInputMessage="false" sqref="I5:I41" type="date">
      <formula1>DATE(2026,10,17)</formula1>
      <formula2>DATE(2026,10,26)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2"/>
    <col collapsed="false" customWidth="true" hidden="false" outlineLevel="0" max="4" min="3" style="0" width="12"/>
    <col collapsed="false" customWidth="true" hidden="false" outlineLevel="0" max="5" min="5" style="0" width="40"/>
    <col collapsed="false" customWidth="true" hidden="false" outlineLevel="0" max="6" min="6" style="0" width="10"/>
    <col collapsed="false" customWidth="true" hidden="false" outlineLevel="0" max="8" min="7" style="0" width="12"/>
    <col collapsed="false" customWidth="true" hidden="false" outlineLevel="0" max="9" min="9" style="0" width="9"/>
    <col collapsed="false" customWidth="true" hidden="false" outlineLevel="0" max="11" min="10" style="0" width="35"/>
  </cols>
  <sheetData>
    <row r="1" customFormat="false" ht="17.35" hidden="false" customHeight="false" outlineLevel="0" collapsed="false">
      <c r="A1" s="1" t="s">
        <v>214</v>
      </c>
    </row>
    <row r="2" customFormat="false" ht="15" hidden="false" customHeight="false" outlineLevel="0" collapsed="false">
      <c r="A2" s="2" t="s">
        <v>215</v>
      </c>
    </row>
    <row r="4" customFormat="false" ht="39.55" hidden="false" customHeight="false" outlineLevel="0" collapsed="false">
      <c r="A4" s="9" t="s">
        <v>22</v>
      </c>
      <c r="B4" s="9" t="s">
        <v>216</v>
      </c>
      <c r="C4" s="9" t="s">
        <v>217</v>
      </c>
      <c r="D4" s="9" t="s">
        <v>218</v>
      </c>
      <c r="E4" s="9" t="s">
        <v>219</v>
      </c>
      <c r="F4" s="9" t="s">
        <v>220</v>
      </c>
      <c r="G4" s="9" t="s">
        <v>221</v>
      </c>
      <c r="H4" s="9" t="s">
        <v>222</v>
      </c>
      <c r="I4" s="9" t="s">
        <v>223</v>
      </c>
      <c r="J4" s="9" t="s">
        <v>224</v>
      </c>
      <c r="K4" s="9" t="s">
        <v>225</v>
      </c>
    </row>
    <row r="5" customFormat="false" ht="141" hidden="false" customHeight="false" outlineLevel="0" collapsed="false">
      <c r="A5" s="3" t="s">
        <v>34</v>
      </c>
      <c r="B5" s="5" t="s">
        <v>226</v>
      </c>
      <c r="C5" s="4" t="n">
        <v>46312</v>
      </c>
      <c r="D5" s="4" t="n">
        <v>46312</v>
      </c>
      <c r="E5" s="5" t="s">
        <v>227</v>
      </c>
      <c r="F5" s="5" t="n">
        <f aca="false">COUNTIF('Product Backlog'!$G$5:$G$41,A5)</f>
        <v>4</v>
      </c>
      <c r="G5" s="5" t="n">
        <f aca="false">SUMIFS('Product Backlog'!$F$5:$F$41,'Product Backlog'!$G$5:$G$41,A5)</f>
        <v>13</v>
      </c>
      <c r="H5" s="5" t="n">
        <f aca="false">SUMIFS('Product Backlog'!$F$5:$F$41,'Product Backlog'!$G$5:$G$41,A5,'Product Backlog'!$H$5:$H$41,"Hecho")</f>
        <v>13</v>
      </c>
      <c r="I5" s="6" t="n">
        <f aca="false">IF(G5=0,0,H5/G5)</f>
        <v>1</v>
      </c>
      <c r="J5" s="15" t="s">
        <v>228</v>
      </c>
      <c r="K5" s="15" t="s">
        <v>229</v>
      </c>
    </row>
    <row r="6" customFormat="false" ht="179.1" hidden="false" customHeight="false" outlineLevel="0" collapsed="false">
      <c r="A6" s="3" t="s">
        <v>59</v>
      </c>
      <c r="B6" s="5" t="s">
        <v>230</v>
      </c>
      <c r="C6" s="4" t="n">
        <v>46313</v>
      </c>
      <c r="D6" s="4" t="n">
        <v>46315</v>
      </c>
      <c r="E6" s="5" t="s">
        <v>231</v>
      </c>
      <c r="F6" s="5" t="n">
        <f aca="false">COUNTIF('Product Backlog'!$G$5:$G$41,A6)</f>
        <v>10</v>
      </c>
      <c r="G6" s="5" t="n">
        <f aca="false">SUMIFS('Product Backlog'!$F$5:$F$41,'Product Backlog'!$G$5:$G$41,A6)</f>
        <v>31</v>
      </c>
      <c r="H6" s="5" t="n">
        <f aca="false">SUMIFS('Product Backlog'!$F$5:$F$41,'Product Backlog'!$G$5:$G$41,A6,'Product Backlog'!$H$5:$H$41,"Hecho")</f>
        <v>31</v>
      </c>
      <c r="I6" s="6" t="n">
        <f aca="false">IF(G6=0,0,H6/G6)</f>
        <v>1</v>
      </c>
      <c r="J6" s="15" t="s">
        <v>232</v>
      </c>
      <c r="K6" s="15" t="s">
        <v>233</v>
      </c>
    </row>
    <row r="7" customFormat="false" ht="26.85" hidden="false" customHeight="false" outlineLevel="0" collapsed="false">
      <c r="A7" s="3" t="s">
        <v>116</v>
      </c>
      <c r="B7" s="5" t="s">
        <v>234</v>
      </c>
      <c r="C7" s="4" t="n">
        <v>46315</v>
      </c>
      <c r="D7" s="4" t="n">
        <v>46317</v>
      </c>
      <c r="E7" s="5" t="s">
        <v>235</v>
      </c>
      <c r="F7" s="5" t="n">
        <f aca="false">COUNTIF('Product Backlog'!$G$5:$G$41,A7)</f>
        <v>10</v>
      </c>
      <c r="G7" s="5" t="n">
        <f aca="false">SUMIFS('Product Backlog'!$F$5:$F$41,'Product Backlog'!$G$5:$G$41,A7)</f>
        <v>43</v>
      </c>
      <c r="H7" s="5" t="n">
        <f aca="false">SUMIFS('Product Backlog'!$F$5:$F$41,'Product Backlog'!$G$5:$G$41,A7,'Product Backlog'!$H$5:$H$41,"Hecho")</f>
        <v>27</v>
      </c>
      <c r="I7" s="6" t="n">
        <f aca="false">IF(G7=0,0,H7/G7)</f>
        <v>0.627906976744186</v>
      </c>
      <c r="J7" s="15"/>
      <c r="K7" s="15"/>
    </row>
    <row r="8" customFormat="false" ht="26.85" hidden="false" customHeight="false" outlineLevel="0" collapsed="false">
      <c r="A8" s="3" t="s">
        <v>158</v>
      </c>
      <c r="B8" s="5" t="s">
        <v>157</v>
      </c>
      <c r="C8" s="4" t="n">
        <v>46318</v>
      </c>
      <c r="D8" s="4" t="n">
        <v>46319</v>
      </c>
      <c r="E8" s="5" t="s">
        <v>236</v>
      </c>
      <c r="F8" s="5" t="n">
        <f aca="false">COUNTIF('Product Backlog'!$G$5:$G$41,A8)</f>
        <v>7</v>
      </c>
      <c r="G8" s="5" t="n">
        <f aca="false">SUMIFS('Product Backlog'!$F$5:$F$41,'Product Backlog'!$G$5:$G$41,A8)</f>
        <v>26</v>
      </c>
      <c r="H8" s="5" t="n">
        <f aca="false">SUMIFS('Product Backlog'!$F$5:$F$41,'Product Backlog'!$G$5:$G$41,A8,'Product Backlog'!$H$5:$H$41,"Hecho")</f>
        <v>0</v>
      </c>
      <c r="I8" s="6" t="n">
        <f aca="false">IF(G8=0,0,H8/G8)</f>
        <v>0</v>
      </c>
      <c r="J8" s="15"/>
      <c r="K8" s="15"/>
    </row>
    <row r="9" customFormat="false" ht="26.85" hidden="false" customHeight="false" outlineLevel="0" collapsed="false">
      <c r="A9" s="3" t="s">
        <v>185</v>
      </c>
      <c r="B9" s="5" t="s">
        <v>237</v>
      </c>
      <c r="C9" s="4" t="n">
        <v>46320</v>
      </c>
      <c r="D9" s="4" t="n">
        <v>46321</v>
      </c>
      <c r="E9" s="5" t="s">
        <v>238</v>
      </c>
      <c r="F9" s="5" t="n">
        <f aca="false">COUNTIF('Product Backlog'!$G$5:$G$41,A9)</f>
        <v>6</v>
      </c>
      <c r="G9" s="5" t="n">
        <f aca="false">SUMIFS('Product Backlog'!$F$5:$F$41,'Product Backlog'!$G$5:$G$41,A9)</f>
        <v>16</v>
      </c>
      <c r="H9" s="5" t="n">
        <f aca="false">SUMIFS('Product Backlog'!$F$5:$F$41,'Product Backlog'!$G$5:$G$41,A9,'Product Backlog'!$H$5:$H$41,"Hecho")</f>
        <v>0</v>
      </c>
      <c r="I9" s="6" t="n">
        <f aca="false">IF(G9=0,0,H9/G9)</f>
        <v>0</v>
      </c>
      <c r="J9" s="15"/>
      <c r="K9" s="15"/>
    </row>
    <row r="10" customFormat="false" ht="15" hidden="false" customHeight="false" outlineLevel="0" collapsed="false">
      <c r="A10" s="3" t="s">
        <v>239</v>
      </c>
      <c r="F10" s="3" t="n">
        <f aca="false">SUM(F5:F9)</f>
        <v>37</v>
      </c>
      <c r="G10" s="3" t="n">
        <f aca="false">SUM(G5:G9)</f>
        <v>129</v>
      </c>
      <c r="H10" s="3" t="n">
        <f aca="false">SUM(H5:H9)</f>
        <v>71</v>
      </c>
      <c r="I10" s="16" t="n">
        <f aca="false">IF(G10=0,0,H10/G10)</f>
        <v>0.550387596899225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0"/>
    <col collapsed="false" customWidth="true" hidden="false" outlineLevel="0" max="4" min="4" style="0" width="26"/>
  </cols>
  <sheetData>
    <row r="1" customFormat="false" ht="17.35" hidden="false" customHeight="false" outlineLevel="0" collapsed="false">
      <c r="A1" s="1" t="s">
        <v>240</v>
      </c>
    </row>
    <row r="2" customFormat="false" ht="15" hidden="false" customHeight="false" outlineLevel="0" collapsed="false">
      <c r="A2" s="2" t="s">
        <v>241</v>
      </c>
    </row>
    <row r="4" customFormat="false" ht="15" hidden="false" customHeight="false" outlineLevel="0" collapsed="false">
      <c r="A4" s="9" t="s">
        <v>242</v>
      </c>
      <c r="B4" s="9" t="s">
        <v>243</v>
      </c>
      <c r="C4" s="9" t="s">
        <v>244</v>
      </c>
      <c r="D4" s="9" t="s">
        <v>245</v>
      </c>
    </row>
    <row r="5" customFormat="false" ht="15" hidden="false" customHeight="false" outlineLevel="0" collapsed="false">
      <c r="A5" s="3" t="s">
        <v>246</v>
      </c>
      <c r="B5" s="5" t="s">
        <v>247</v>
      </c>
      <c r="C5" s="17" t="n">
        <v>5</v>
      </c>
      <c r="D5" s="5" t="s">
        <v>248</v>
      </c>
    </row>
    <row r="6" customFormat="false" ht="15" hidden="false" customHeight="false" outlineLevel="0" collapsed="false">
      <c r="A6" s="3" t="s">
        <v>246</v>
      </c>
      <c r="B6" s="5" t="s">
        <v>249</v>
      </c>
      <c r="C6" s="17" t="n">
        <v>2</v>
      </c>
      <c r="D6" s="5" t="s">
        <v>250</v>
      </c>
    </row>
    <row r="7" customFormat="false" ht="15" hidden="false" customHeight="false" outlineLevel="0" collapsed="false">
      <c r="A7" s="3" t="s">
        <v>246</v>
      </c>
      <c r="B7" s="5" t="s">
        <v>251</v>
      </c>
      <c r="C7" s="17" t="n">
        <v>2</v>
      </c>
      <c r="D7" s="5" t="s">
        <v>252</v>
      </c>
    </row>
    <row r="8" customFormat="false" ht="15" hidden="false" customHeight="false" outlineLevel="0" collapsed="false">
      <c r="A8" s="3" t="s">
        <v>246</v>
      </c>
      <c r="B8" s="5" t="s">
        <v>253</v>
      </c>
      <c r="C8" s="17" t="n">
        <v>4</v>
      </c>
      <c r="D8" s="5" t="s">
        <v>254</v>
      </c>
    </row>
    <row r="9" customFormat="false" ht="15" hidden="false" customHeight="false" outlineLevel="0" collapsed="false">
      <c r="A9" s="3" t="s">
        <v>246</v>
      </c>
      <c r="B9" s="5" t="s">
        <v>255</v>
      </c>
      <c r="C9" s="17" t="n">
        <v>2</v>
      </c>
      <c r="D9" s="5" t="s">
        <v>256</v>
      </c>
    </row>
    <row r="10" customFormat="false" ht="15" hidden="false" customHeight="false" outlineLevel="0" collapsed="false">
      <c r="A10" s="3" t="s">
        <v>246</v>
      </c>
      <c r="B10" s="5" t="s">
        <v>257</v>
      </c>
      <c r="C10" s="17" t="n">
        <v>5</v>
      </c>
      <c r="D10" s="5" t="s">
        <v>164</v>
      </c>
    </row>
    <row r="11" customFormat="false" ht="15" hidden="false" customHeight="false" outlineLevel="0" collapsed="false">
      <c r="A11" s="3" t="s">
        <v>258</v>
      </c>
      <c r="B11" s="5" t="s">
        <v>259</v>
      </c>
      <c r="C11" s="17" t="n">
        <v>5</v>
      </c>
      <c r="D11" s="5" t="s">
        <v>260</v>
      </c>
    </row>
    <row r="12" customFormat="false" ht="15" hidden="false" customHeight="false" outlineLevel="0" collapsed="false">
      <c r="A12" s="3" t="s">
        <v>258</v>
      </c>
      <c r="B12" s="5" t="s">
        <v>261</v>
      </c>
      <c r="C12" s="17" t="n">
        <v>5</v>
      </c>
      <c r="D12" s="5" t="s">
        <v>262</v>
      </c>
    </row>
    <row r="13" customFormat="false" ht="15" hidden="false" customHeight="false" outlineLevel="0" collapsed="false">
      <c r="A13" s="3" t="s">
        <v>258</v>
      </c>
      <c r="B13" s="5" t="s">
        <v>263</v>
      </c>
      <c r="C13" s="17" t="n">
        <v>5</v>
      </c>
      <c r="D13" s="5" t="s">
        <v>264</v>
      </c>
    </row>
    <row r="14" customFormat="false" ht="26.85" hidden="false" customHeight="false" outlineLevel="0" collapsed="false">
      <c r="A14" s="3" t="s">
        <v>258</v>
      </c>
      <c r="B14" s="5" t="s">
        <v>265</v>
      </c>
      <c r="C14" s="17" t="n">
        <v>5</v>
      </c>
      <c r="D14" s="5" t="s">
        <v>266</v>
      </c>
    </row>
    <row r="15" customFormat="false" ht="15" hidden="false" customHeight="false" outlineLevel="0" collapsed="false">
      <c r="B15" s="3" t="s">
        <v>267</v>
      </c>
      <c r="C15" s="3" t="n">
        <f aca="false">SUMIFS(C5:C14,A5:A14,"Servicios")</f>
        <v>20</v>
      </c>
    </row>
    <row r="16" customFormat="false" ht="15" hidden="false" customHeight="false" outlineLevel="0" collapsed="false">
      <c r="B16" s="3" t="s">
        <v>268</v>
      </c>
      <c r="C16" s="3" t="n">
        <f aca="false">SUMIFS(C5:C14,A5:A14,"Arquitectura")</f>
        <v>20</v>
      </c>
    </row>
    <row r="17" customFormat="false" ht="15" hidden="false" customHeight="false" outlineLevel="0" collapsed="false">
      <c r="B17" s="3" t="s">
        <v>269</v>
      </c>
      <c r="C17" s="3" t="n">
        <f aca="false">(C15+C16)/2</f>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10"/>
  </cols>
  <sheetData>
    <row r="1" customFormat="false" ht="17.35" hidden="false" customHeight="false" outlineLevel="0" collapsed="false">
      <c r="A1" s="1" t="s">
        <v>270</v>
      </c>
    </row>
    <row r="2" customFormat="false" ht="15" hidden="false" customHeight="false" outlineLevel="0" collapsed="false">
      <c r="A2" s="2" t="s">
        <v>271</v>
      </c>
    </row>
    <row r="4" customFormat="false" ht="15" hidden="false" customHeight="false" outlineLevel="0" collapsed="false">
      <c r="A4" s="9" t="s">
        <v>272</v>
      </c>
      <c r="B4" s="9" t="s">
        <v>273</v>
      </c>
      <c r="C4" s="9" t="s">
        <v>274</v>
      </c>
    </row>
    <row r="5" customFormat="false" ht="15" hidden="false" customHeight="false" outlineLevel="0" collapsed="false">
      <c r="A5" s="18" t="n">
        <v>46312</v>
      </c>
      <c r="B5" s="19" t="n">
        <f aca="false">Resumen!$B$7*(1-0/9)</f>
        <v>129</v>
      </c>
      <c r="C5" s="5" t="n">
        <f aca="false">Resumen!$B$7-SUMIFS('Product Backlog'!$F$5:$F$41,'Product Backlog'!$H$5:$H$41,"Hecho",'Product Backlog'!$I$5:$I$41,"&lt;="&amp;A5)</f>
        <v>116</v>
      </c>
    </row>
    <row r="6" customFormat="false" ht="15" hidden="false" customHeight="false" outlineLevel="0" collapsed="false">
      <c r="A6" s="18" t="n">
        <v>46313</v>
      </c>
      <c r="B6" s="19" t="n">
        <f aca="false">Resumen!$B$7*(1-1/9)</f>
        <v>114.666666666667</v>
      </c>
      <c r="C6" s="5" t="n">
        <f aca="false">Resumen!$B$7-SUMIFS('Product Backlog'!$F$5:$F$41,'Product Backlog'!$H$5:$H$41,"Hecho",'Product Backlog'!$I$5:$I$41,"&lt;="&amp;A6)</f>
        <v>107</v>
      </c>
    </row>
    <row r="7" customFormat="false" ht="15" hidden="false" customHeight="false" outlineLevel="0" collapsed="false">
      <c r="A7" s="18" t="n">
        <v>46314</v>
      </c>
      <c r="B7" s="19" t="n">
        <f aca="false">Resumen!$B$7*(1-2/9)</f>
        <v>100.333333333333</v>
      </c>
      <c r="C7" s="5" t="n">
        <f aca="false">Resumen!$B$7-SUMIFS('Product Backlog'!$F$5:$F$41,'Product Backlog'!$H$5:$H$41,"Hecho",'Product Backlog'!$I$5:$I$41,"&lt;="&amp;A7)</f>
        <v>101</v>
      </c>
    </row>
    <row r="8" customFormat="false" ht="15" hidden="false" customHeight="false" outlineLevel="0" collapsed="false">
      <c r="A8" s="18" t="n">
        <v>46315</v>
      </c>
      <c r="B8" s="19" t="n">
        <f aca="false">Resumen!$B$7*(1-3/9)</f>
        <v>86</v>
      </c>
      <c r="C8" s="5" t="n">
        <f aca="false">Resumen!$B$7-SUMIFS('Product Backlog'!$F$5:$F$41,'Product Backlog'!$H$5:$H$41,"Hecho",'Product Backlog'!$I$5:$I$41,"&lt;="&amp;A8)</f>
        <v>85</v>
      </c>
    </row>
    <row r="9" customFormat="false" ht="15" hidden="false" customHeight="false" outlineLevel="0" collapsed="false">
      <c r="A9" s="18" t="n">
        <v>46316</v>
      </c>
      <c r="B9" s="19" t="n">
        <f aca="false">Resumen!$B$7*(1-4/9)</f>
        <v>71.6666666666667</v>
      </c>
      <c r="C9" s="5" t="n">
        <f aca="false">Resumen!$B$7-SUMIFS('Product Backlog'!$F$5:$F$41,'Product Backlog'!$H$5:$H$41,"Hecho",'Product Backlog'!$I$5:$I$41,"&lt;="&amp;A9)</f>
        <v>58</v>
      </c>
    </row>
    <row r="10" customFormat="false" ht="15" hidden="false" customHeight="false" outlineLevel="0" collapsed="false">
      <c r="A10" s="18" t="n">
        <v>46317</v>
      </c>
      <c r="B10" s="19" t="n">
        <f aca="false">Resumen!$B$7*(1-5/9)</f>
        <v>57.3333333333333</v>
      </c>
      <c r="C10" s="5" t="n">
        <f aca="false">Resumen!$B$7-SUMIFS('Product Backlog'!$F$5:$F$41,'Product Backlog'!$H$5:$H$41,"Hecho",'Product Backlog'!$I$5:$I$41,"&lt;="&amp;A10)</f>
        <v>58</v>
      </c>
    </row>
    <row r="11" customFormat="false" ht="15" hidden="false" customHeight="false" outlineLevel="0" collapsed="false">
      <c r="A11" s="18" t="n">
        <v>46318</v>
      </c>
      <c r="B11" s="19" t="n">
        <f aca="false">Resumen!$B$7*(1-6/9)</f>
        <v>43</v>
      </c>
      <c r="C11" s="5" t="n">
        <f aca="false">Resumen!$B$7-SUMIFS('Product Backlog'!$F$5:$F$41,'Product Backlog'!$H$5:$H$41,"Hecho",'Product Backlog'!$I$5:$I$41,"&lt;="&amp;A11)</f>
        <v>58</v>
      </c>
    </row>
    <row r="12" customFormat="false" ht="15" hidden="false" customHeight="false" outlineLevel="0" collapsed="false">
      <c r="A12" s="18" t="n">
        <v>46319</v>
      </c>
      <c r="B12" s="19" t="n">
        <f aca="false">Resumen!$B$7*(1-7/9)</f>
        <v>28.6666666666667</v>
      </c>
      <c r="C12" s="5" t="n">
        <f aca="false">Resumen!$B$7-SUMIFS('Product Backlog'!$F$5:$F$41,'Product Backlog'!$H$5:$H$41,"Hecho",'Product Backlog'!$I$5:$I$41,"&lt;="&amp;A12)</f>
        <v>58</v>
      </c>
    </row>
    <row r="13" customFormat="false" ht="15" hidden="false" customHeight="false" outlineLevel="0" collapsed="false">
      <c r="A13" s="18" t="n">
        <v>46320</v>
      </c>
      <c r="B13" s="19" t="n">
        <f aca="false">Resumen!$B$7*(1-8/9)</f>
        <v>14.3333333333333</v>
      </c>
      <c r="C13" s="5" t="n">
        <f aca="false">Resumen!$B$7-SUMIFS('Product Backlog'!$F$5:$F$41,'Product Backlog'!$H$5:$H$41,"Hecho",'Product Backlog'!$I$5:$I$41,"&lt;="&amp;A13)</f>
        <v>58</v>
      </c>
    </row>
    <row r="14" customFormat="false" ht="15" hidden="false" customHeight="false" outlineLevel="0" collapsed="false">
      <c r="A14" s="18" t="n">
        <v>46321</v>
      </c>
      <c r="B14" s="19" t="n">
        <f aca="false">Resumen!$B$7*(1-9/9)</f>
        <v>0</v>
      </c>
      <c r="C14" s="5" t="n">
        <f aca="false">Resumen!$B$7-SUMIFS('Product Backlog'!$F$5:$F$41,'Product Backlog'!$H$5:$H$41,"Hecho",'Product Backlog'!$I$5:$I$41,"&lt;="&amp;A14)</f>
        <v>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2026-10-22T20:33:22Z</dcterms:created>
  <dc:creator>openpyxl</dc:creator>
  <dc:description/>
  <dc:language>en-US</dc:language>
  <cp:lastModifiedBy/>
  <dcterms:modified xsi:type="dcterms:W3CDTF">2026-10-22T15:33:25Z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
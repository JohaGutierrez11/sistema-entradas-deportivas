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<sst xmlns="http://schemas.openxmlformats.org/spreadsheetml/2006/main" count="510" uniqueCount="291">
  <si>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</si>
  <si>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</si>
  <si>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</si>
  <si>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</si>
  <si>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</si>
  <si>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</si>
  <si>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</si>
  <si>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</si>
  <si>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</si>
  <si>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</si>
  <si>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</si>
  <si>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</si>
  <si>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</si>
  <si>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</si>
  <si>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</si>
  <si>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</si>
  <si>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</si>
  <si>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</si>
  <si>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</si>
  <si>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</si>
  <si>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</si>
  <si>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</si>
  <si>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</si>
  <si>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</si>
  <si>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</si>
  <si>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</si>
  <si>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</si>
  <si>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</si>
  <si>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</si>
  <si>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</si>
  <si>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</si>
  <si>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</si>
  <si>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</si>
  <si>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</si>
  <si>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</si>
  <si>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</si>
  <si>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</si>
  <si>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</si>
  <si>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</si>
  <si>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</si>
  <si>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</si>
  <si>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</si>
  <si>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</si>
  <si>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</si>
  <si>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</si>
  <si>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</si>
  <si>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</si>
  <si>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</si>
  <si>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</si>
  <si>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</si>
  <si>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</si>
  <si>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</si>
  <si>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</si>
  <si>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</si>
  <si>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</si>
  <si>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</si>
  <si>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</si>
  <si>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</si>
  <si>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</si>
  <si>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</si>
  <si>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</si>
  <si>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</si>
  <si>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</si>
  <si>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</si>
  <si>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</si>
  <si>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</si>
  <si>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</si>
  <si>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</si>
  <si>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</si>
  <si>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</si>
  <si>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</si>
  <si>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</si>
  <si>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</si>
  <si>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</si>
  <si>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</si>
  <si>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</si>
  <si>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</si>
  <si>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</si>
  <si>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</si>
  <si>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</si>
  <si>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</si>
  <si>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</si>
  <si>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</si>
  <si>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</si>
  <si>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</si>
  <si>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</si>
  <si>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</si>
  <si>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</si>
  <si>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</si>
  <si>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</si>
  <si>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</si>
  <si>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</si>
  <si>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</si>
  <si>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</si>
  <si>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</si>
  <si>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</si>
  <si>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</si>
  <si>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</si>
  <si>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</si>
  <si>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</si>
  <si>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</si>
  <si>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</si>
  <si>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</si>
  <si>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</si>
  <si>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</si>
  <si>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</si>
  <si>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</si>
  <si>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</si>
  <si>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</si>
  <si>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</si>
  <si>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</si>
  <si>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</si>
  <si>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</si>
  <si>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</si>
  <si>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</si>
  <si>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</si>
  <si>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</si>
  <si>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</si>
  <si>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</si>
  <si>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</si>
  <si>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</si>
  <si>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</si>
  <si>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</si>
  <si>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</si>
  <si>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</si>
  <si>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</si>
  <si>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</si>
  <si>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</si>
  <si>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</si>
  <si>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</si>
  <si>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</si>
  <si>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</si>
  <si>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</si>
  <si>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</si>
  <si>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</si>
  <si>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</si>
  <si>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</si>
  <si>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</si>
  <si>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</si>
  <si>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</si>
  <si>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</si>
  <si>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</si>
  <si>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</si>
  <si>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</si>
  <si>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</si>
  <si>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feature/HU-20-mis-reservas-pdf · PR #18</t>
  </si>
  <si>
    <t xml:space="preserve">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</si>
  <si>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</si>
  <si>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</si>
  <si>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</si>
  <si>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feature/HU-21-reporte-admin · PR #20</t>
  </si>
  <si>
    <t xml:space="preserve">GET /reports/reservations (JSON) y /reports/reservations/pdf: filtros opcionales y combinables (fecha de la reserva, partido, estado). Resumen por estado (todos, aunque sean 0), entradas vendidas y anuladas. Ocupación actual por partido y sección: reservas envía los asientos vendidos y match-service los cuenta con GROUP BY (endpoint interno nuevo; la lógica va donde están los datos). Capacidad = suma de secciones. Valor límite: "hasta" incluye el día completo (&lt; día siguiente 00:00). from &gt; to → 422. PDF horizontal con tarjetas y barras de ocupación (tabla de 2 celdas; casos 0 % y 100 %), tonos azules por nivel. JSON y PDF salen de la misma función (consistencia). Sin match-service → reporte con ocupación no disponible.</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</si>
  <si>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</si>
  <si>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</si>
  <si>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</si>
  <si>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</si>
  <si>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</si>
  <si>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</si>
  <si>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</si>
  <si>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</si>
  <si>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</si>
  <si>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</si>
  <si>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Pendiente</t>
  </si>
  <si>
    <t xml:space="preserve">Acceso a la aplicación web (2)</t>
  </si>
  <si>
    <t xml:space="preserve">Mensajes de error claros; tras login redirige según rol</t>
  </si>
  <si>
    <t xml:space="preserve">HU-24</t>
  </si>
  <si>
    <t xml:space="preserve">Como cliente, quiero un catálogo de partidos con búsqueda por fecha para elegir un evento</t>
  </si>
  <si>
    <t xml:space="preserve">Búsqueda por fecha funciona; muestra estadio, fecha y hora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</si>
  <si>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</si>
  <si>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</si>
  <si>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</si>
  <si>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</si>
  <si>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HU-26</t>
  </si>
  <si>
    <t xml:space="preserve">Como cliente, quiero un formulario de confirmación de reserva (máximo 6) para cerrar mi compra</t>
  </si>
  <si>
    <t xml:space="preserve">Resumen antes de confirmar; error 409/422 mostrado en lenguaje claro</t>
  </si>
  <si>
    <t xml:space="preserve">HU-27</t>
  </si>
  <si>
    <t xml:space="preserve">Como cliente, quiero ver mi boleto electrónico con código QR para presentarlo en el ingreso</t>
  </si>
  <si>
    <t xml:space="preserve">QR visible y legible por un lector de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</si>
  <si>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</si>
  <si>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</si>
  <si>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</si>
  <si>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</si>
  <si>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</si>
  <si>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</si>
  <si>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</si>
  <si>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</si>
  <si>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</si>
  <si>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</si>
  <si>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</si>
  <si>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</si>
  <si>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</si>
  <si>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</si>
  <si>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</si>
  <si>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</si>
  <si>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</si>
  <si>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</si>
  <si>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</si>
  <si>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</si>
  <si>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</si>
  <si>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</si>
  <si>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</si>
  <si>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</si>
  <si>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</si>
  <si>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</si>
  <si>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</si>
  <si>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Directo a main, sin PR (desviación documentada)</t>
  </si>
  <si>
    <t xml:space="preserve">audit_log en auth_db y reservation_db (cada servicio en su base). AuditWriter con REQUIRES_NEW: el registro sobrevive al rollback (login con cuenta bloqueada → 423). AuditService sin transacción: nunca tumba el negocio (probado renombrando la tabla). Usuario del SecurityContext o SISTEMA; IP de la petición; solo inserción. Auditado: login éxito/fallo con motivo, bloqueo, cambio de contraseña, estados de usuario y rol, reservas creadas/confirmadas/canceladas/expiradas, reportes generados con filtros y descargas de entradas (auditoría por riesgo, no cada consulta). Bug: script no idempotente sin DROP de audit_log.</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</si>
  <si>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</si>
  <si>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</si>
  <si>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</si>
  <si>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</si>
  <si>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</si>
  <si>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</si>
  <si>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</si>
  <si>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</si>
  <si>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</si>
  <si>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</si>
  <si>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</si>
  <si>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feature/HU-37-entradas-pdf · PR #19</t>
  </si>
  <si>
    <t xml:space="preserve">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</si>
  <si>
    <t xml:space="preserve">HU-38</t>
  </si>
  <si>
    <t xml:space="preserve">Como administrador, quiero ubicar cada sección como un recuadro sobre el plano del estadio para que el cliente vea un mapa real y elija su asiento</t>
  </si>
  <si>
    <t xml:space="preserve">Sección guarda x, y, ancho y alto en % del plano (0–100); fuera del plano → 400; superpuesta con otra sección → 422; GET /stadiums/{id}/layout devuelve secciones con su recuadro, filas y asientos; semillas con coordenadas</t>
  </si>
  <si>
    <t xml:space="preserve">Idea de la usuaria (22-oct): al crear secciones, ubicarlas como recuadros sobre el plano, porque un enum de lado (norte/sur/...) no representa estadios reales. Geometría en porcentaje para que el mapa escale a cualquier pantalla. Incluye el endpoint /layout pendiente desde HU-07. Requisito del mapa de asientos del frontend. Primero: formulario con vista previa en vivo.</t>
  </si>
  <si>
    <t xml:space="preserve">HU-39</t>
  </si>
  <si>
    <t xml:space="preserve">Como administrador, quiero arrastrar y redimensionar las secciones sobre el plano en lugar de escribir coordenadas</t>
  </si>
  <si>
    <t xml:space="preserve">Arrastrar/redimensionar actualiza x, y, ancho y alto; se guarda con el mismo endpoint de HU-38; las reglas de superposición siguen validándose en el backend</t>
  </si>
  <si>
    <t xml:space="preserve">Mejora visual de HU-38: editor de arrastrar y soltar (por ejemplo react-rnd). Recortable: HU-38 ya permite ubicar las secciones con números y vista previa.</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</si>
  <si>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</si>
  <si>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</si>
  <si>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</si>
  <si>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</si>
  <si>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</si>
  <si>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</si>
  <si>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</si>
  <si>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</si>
  <si>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</si>
  <si>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</si>
  <si>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</si>
  <si>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</si>
  <si>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</si>
  <si>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</si>
  <si>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</si>
  <si>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</si>
  <si>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</si>
  <si>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</si>
  <si>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</si>
  <si>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</si>
  <si>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</si>
  <si>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</si>
  <si>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Incremento: reservation-service completo (disponibilidad, reservar con máximo 6, expiración automática, confirmar con tickets QR, cancelar, mis reservas, entradas y reporte del administrador en JSON y PDF), integrado con match-service (endpoints internos con X-Internal-Key) y con el JWT, más auditoría (audit_log) en auth y reservas: tríada AAA completa. 43/43 puntos. 13 bugs y hallazgos documentados (LazyInitializationException, auto-invocación transaccional, contrato del header, configuración ignorada, script no idempotente, huecos funcionales). Resumen completo en docs/sprints/sprint-2.md.</t>
  </si>
  <si>
    <t xml:space="preserve">Salió bien: se terminaron todas las historias comprometidas; fue interesante, en especial entender los PDF.
Costó: llevó más tiempo del planificado (un día más y nuevas historias descubiertas al probar).
Acción de mejora: probar apenas compila y tras cada arreglo; un commit por parte; revisar el servicio de cada carpeta al importar en Apidog.
Ánimo: muchas ganas de empezar el frontend.</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</si>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</sst>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137</c:v>
                </c:pt>
                <c:pt idx="1">
                  <c:v>121.777777777778</c:v>
                </c:pt>
                <c:pt idx="2">
                  <c:v>106.555555555556</c:v>
                </c:pt>
                <c:pt idx="3">
                  <c:v>91.3333333333333</c:v>
                </c:pt>
                <c:pt idx="4">
                  <c:v>76.1111111111111</c:v>
                </c:pt>
                <c:pt idx="5">
                  <c:v>60.8888888888889</c:v>
                </c:pt>
                <c:pt idx="6">
                  <c:v>45.6666666666667</c:v>
                </c:pt>
                <c:pt idx="7">
                  <c:v>30.4444444444444</c:v>
                </c:pt>
                <c:pt idx="8">
                  <c:v>15.2222222222222</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124</c:v>
                </c:pt>
                <c:pt idx="1">
                  <c:v>115</c:v>
                </c:pt>
                <c:pt idx="2">
                  <c:v>109</c:v>
                </c:pt>
                <c:pt idx="3">
                  <c:v>93</c:v>
                </c:pt>
                <c:pt idx="4">
                  <c:v>66</c:v>
                </c:pt>
                <c:pt idx="5">
                  <c:v>50</c:v>
                </c:pt>
                <c:pt idx="6">
                  <c:v>50</c:v>
                </c:pt>
                <c:pt idx="7">
                  <c:v>50</c:v>
                </c:pt>
                <c:pt idx="8">
                  <c:v>50</c:v>
                </c:pt>
                <c:pt idx="9">
                  <c:v>50</c:v>
                </c:pt>
              </c:numCache>
            </c:numRef>
          </c:val>
          <c:smooth val="1"/>
        </c:ser>
        <c:hiLowLines>
          <c:spPr>
            <a:ln w="0">
              <a:noFill/>
            </a:ln>
          </c:spPr>
        </c:hiLowLines>
        <c:marker val="0"/>
        <c:axId val="92356753"/>
        <c:axId val="38576325"/>
      </c:lineChart>
      <c:catAx>
        <c:axId val="9235675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576325"/>
        <c:crosses val="autoZero"/>
        <c:auto val="1"/>
        <c:lblAlgn val="ctr"/>
        <c:lblOffset val="100"/>
        <c:noMultiLvlLbl val="0"/>
      </c:catAx>
      <c:valAx>
        <c:axId val="3857632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35675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Backlog'!A5:A43)</f>
        <v>39</v>
      </c>
    </row>
    <row r="7" customFormat="false" ht="15" hidden="false" customHeight="false" outlineLevel="0" collapsed="false">
      <c r="A7" s="3" t="s">
        <v>5</v>
      </c>
      <c r="B7" s="5" t="n">
        <f aca="false">SUM('Product Backlog'!F5:F43)</f>
        <v>137</v>
      </c>
    </row>
    <row r="8" customFormat="false" ht="15" hidden="false" customHeight="false" outlineLevel="0" collapsed="false">
      <c r="A8" s="3" t="s">
        <v>6</v>
      </c>
      <c r="B8" s="5" t="n">
        <f aca="false">SUMIFS('Product Backlog'!F5:F43,'Product Backlog'!H5:H43,"Hecho")</f>
        <v>87</v>
      </c>
    </row>
    <row r="9" customFormat="false" ht="15" hidden="false" customHeight="false" outlineLevel="0" collapsed="false">
      <c r="A9" s="3" t="s">
        <v>7</v>
      </c>
      <c r="B9" s="6" t="n">
        <f aca="false">IF(B7=0,0,B8/B7)</f>
        <v>0.635036496350365</v>
      </c>
    </row>
    <row r="10" customFormat="false" ht="15" hidden="false" customHeight="false" outlineLevel="0" collapsed="false">
      <c r="A10" s="3" t="s">
        <v>8</v>
      </c>
      <c r="B10" s="5" t="n">
        <f aca="false">COUNTIF('Product Backlog'!H5:H43,"Hecho")</f>
        <v>24</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04.45" hidden="false" customHeight="false" outlineLevel="0" collapsed="false">
      <c r="A24" s="10" t="s">
        <v>141</v>
      </c>
      <c r="B24" s="5" t="s">
        <v>142</v>
      </c>
      <c r="C24" s="11" t="s">
        <v>66</v>
      </c>
      <c r="D24" s="5" t="s">
        <v>115</v>
      </c>
      <c r="E24" s="11" t="s">
        <v>33</v>
      </c>
      <c r="F24" s="12" t="n">
        <v>5</v>
      </c>
      <c r="G24" s="11" t="s">
        <v>116</v>
      </c>
      <c r="H24" s="13" t="s">
        <v>35</v>
      </c>
      <c r="I24" s="14" t="n">
        <v>46317</v>
      </c>
      <c r="J24" s="5" t="s">
        <v>143</v>
      </c>
      <c r="K24" s="5" t="s">
        <v>144</v>
      </c>
      <c r="L24" s="15" t="s">
        <v>145</v>
      </c>
      <c r="M24" s="15" t="s">
        <v>146</v>
      </c>
    </row>
    <row r="25" customFormat="false" ht="217.15" hidden="false" customHeight="false" outlineLevel="0" collapsed="false">
      <c r="A25" s="10" t="s">
        <v>147</v>
      </c>
      <c r="B25" s="5" t="s">
        <v>148</v>
      </c>
      <c r="C25" s="11" t="s">
        <v>66</v>
      </c>
      <c r="D25" s="5" t="s">
        <v>115</v>
      </c>
      <c r="E25" s="11" t="s">
        <v>33</v>
      </c>
      <c r="F25" s="12" t="n">
        <v>5</v>
      </c>
      <c r="G25" s="11" t="s">
        <v>116</v>
      </c>
      <c r="H25" s="13" t="s">
        <v>35</v>
      </c>
      <c r="I25" s="14" t="n">
        <v>46317</v>
      </c>
      <c r="J25" s="5" t="s">
        <v>143</v>
      </c>
      <c r="K25" s="5" t="s">
        <v>149</v>
      </c>
      <c r="L25" s="15" t="s">
        <v>150</v>
      </c>
      <c r="M25" s="15" t="s">
        <v>151</v>
      </c>
    </row>
    <row r="26" customFormat="false" ht="141" hidden="false" customHeight="false" outlineLevel="0" collapsed="false">
      <c r="A26" s="10" t="s">
        <v>152</v>
      </c>
      <c r="B26" s="5" t="s">
        <v>153</v>
      </c>
      <c r="C26" s="11" t="s">
        <v>31</v>
      </c>
      <c r="D26" s="5" t="s">
        <v>154</v>
      </c>
      <c r="E26" s="11" t="s">
        <v>33</v>
      </c>
      <c r="F26" s="12" t="n">
        <v>3</v>
      </c>
      <c r="G26" s="11" t="s">
        <v>116</v>
      </c>
      <c r="H26" s="13" t="s">
        <v>35</v>
      </c>
      <c r="I26" s="14" t="n">
        <v>46316</v>
      </c>
      <c r="J26" s="5" t="s">
        <v>155</v>
      </c>
      <c r="K26" s="5" t="s">
        <v>156</v>
      </c>
      <c r="L26" s="15" t="s">
        <v>119</v>
      </c>
      <c r="M26" s="15" t="s">
        <v>157</v>
      </c>
    </row>
    <row r="27" customFormat="false" ht="26.85" hidden="false" customHeight="false" outlineLevel="0" collapsed="false">
      <c r="A27" s="10" t="s">
        <v>158</v>
      </c>
      <c r="B27" s="5" t="s">
        <v>159</v>
      </c>
      <c r="C27" s="11" t="s">
        <v>66</v>
      </c>
      <c r="D27" s="5" t="s">
        <v>160</v>
      </c>
      <c r="E27" s="11" t="s">
        <v>33</v>
      </c>
      <c r="F27" s="12" t="n">
        <v>3</v>
      </c>
      <c r="G27" s="11" t="s">
        <v>161</v>
      </c>
      <c r="H27" s="13" t="s">
        <v>162</v>
      </c>
      <c r="I27" s="14"/>
      <c r="J27" s="5" t="s">
        <v>163</v>
      </c>
      <c r="K27" s="5" t="s">
        <v>164</v>
      </c>
      <c r="L27" s="15"/>
      <c r="M27" s="15"/>
    </row>
    <row r="28" customFormat="false" ht="26.85" hidden="false" customHeight="false" outlineLevel="0" collapsed="false">
      <c r="A28" s="10" t="s">
        <v>165</v>
      </c>
      <c r="B28" s="5" t="s">
        <v>166</v>
      </c>
      <c r="C28" s="11" t="s">
        <v>66</v>
      </c>
      <c r="D28" s="5" t="s">
        <v>160</v>
      </c>
      <c r="E28" s="11" t="s">
        <v>33</v>
      </c>
      <c r="F28" s="12" t="n">
        <v>3</v>
      </c>
      <c r="G28" s="11" t="s">
        <v>161</v>
      </c>
      <c r="H28" s="13" t="s">
        <v>162</v>
      </c>
      <c r="I28" s="14"/>
      <c r="J28" s="5" t="s">
        <v>84</v>
      </c>
      <c r="K28" s="5" t="s">
        <v>167</v>
      </c>
      <c r="L28" s="15"/>
      <c r="M28" s="15"/>
    </row>
    <row r="29" customFormat="false" ht="39.55" hidden="false" customHeight="false" outlineLevel="0" collapsed="false">
      <c r="A29" s="10" t="s">
        <v>168</v>
      </c>
      <c r="B29" s="5" t="s">
        <v>169</v>
      </c>
      <c r="C29" s="11" t="s">
        <v>66</v>
      </c>
      <c r="D29" s="5" t="s">
        <v>160</v>
      </c>
      <c r="E29" s="11" t="s">
        <v>33</v>
      </c>
      <c r="F29" s="12" t="n">
        <v>8</v>
      </c>
      <c r="G29" s="11" t="s">
        <v>161</v>
      </c>
      <c r="H29" s="13" t="s">
        <v>162</v>
      </c>
      <c r="I29" s="14"/>
      <c r="J29" s="5" t="s">
        <v>170</v>
      </c>
      <c r="K29" s="5" t="s">
        <v>171</v>
      </c>
      <c r="L29" s="15"/>
      <c r="M29" s="15"/>
    </row>
    <row r="30" customFormat="false" ht="26.85" hidden="false" customHeight="false" outlineLevel="0" collapsed="false">
      <c r="A30" s="10" t="s">
        <v>172</v>
      </c>
      <c r="B30" s="5" t="s">
        <v>173</v>
      </c>
      <c r="C30" s="11" t="s">
        <v>66</v>
      </c>
      <c r="D30" s="5" t="s">
        <v>160</v>
      </c>
      <c r="E30" s="11" t="s">
        <v>33</v>
      </c>
      <c r="F30" s="12" t="n">
        <v>3</v>
      </c>
      <c r="G30" s="11" t="s">
        <v>161</v>
      </c>
      <c r="H30" s="13" t="s">
        <v>162</v>
      </c>
      <c r="I30" s="14"/>
      <c r="J30" s="5" t="s">
        <v>117</v>
      </c>
      <c r="K30" s="5" t="s">
        <v>174</v>
      </c>
      <c r="L30" s="15"/>
      <c r="M30" s="15"/>
    </row>
    <row r="31" customFormat="false" ht="26.85" hidden="false" customHeight="false" outlineLevel="0" collapsed="false">
      <c r="A31" s="10" t="s">
        <v>175</v>
      </c>
      <c r="B31" s="5" t="s">
        <v>176</v>
      </c>
      <c r="C31" s="11" t="s">
        <v>66</v>
      </c>
      <c r="D31" s="5" t="s">
        <v>160</v>
      </c>
      <c r="E31" s="11" t="s">
        <v>33</v>
      </c>
      <c r="F31" s="12" t="n">
        <v>2</v>
      </c>
      <c r="G31" s="11" t="s">
        <v>161</v>
      </c>
      <c r="H31" s="13" t="s">
        <v>162</v>
      </c>
      <c r="I31" s="14"/>
      <c r="J31" s="5" t="s">
        <v>133</v>
      </c>
      <c r="K31" s="5" t="s">
        <v>177</v>
      </c>
      <c r="L31" s="15"/>
      <c r="M31" s="15"/>
    </row>
    <row r="32" customFormat="false" ht="26.85" hidden="false" customHeight="false" outlineLevel="0" collapsed="false">
      <c r="A32" s="10" t="s">
        <v>178</v>
      </c>
      <c r="B32" s="5" t="s">
        <v>179</v>
      </c>
      <c r="C32" s="11" t="s">
        <v>66</v>
      </c>
      <c r="D32" s="5" t="s">
        <v>160</v>
      </c>
      <c r="E32" s="11" t="s">
        <v>33</v>
      </c>
      <c r="F32" s="12" t="n">
        <v>5</v>
      </c>
      <c r="G32" s="11" t="s">
        <v>161</v>
      </c>
      <c r="H32" s="13" t="s">
        <v>162</v>
      </c>
      <c r="I32" s="14"/>
      <c r="J32" s="5" t="s">
        <v>180</v>
      </c>
      <c r="K32" s="5" t="s">
        <v>181</v>
      </c>
      <c r="L32" s="15"/>
      <c r="M32" s="15"/>
    </row>
    <row r="33" customFormat="false" ht="26.85" hidden="false" customHeight="false" outlineLevel="0" collapsed="false">
      <c r="A33" s="10" t="s">
        <v>182</v>
      </c>
      <c r="B33" s="5" t="s">
        <v>183</v>
      </c>
      <c r="C33" s="11" t="s">
        <v>66</v>
      </c>
      <c r="D33" s="5" t="s">
        <v>160</v>
      </c>
      <c r="E33" s="11" t="s">
        <v>33</v>
      </c>
      <c r="F33" s="12" t="n">
        <v>2</v>
      </c>
      <c r="G33" s="11" t="s">
        <v>161</v>
      </c>
      <c r="H33" s="13" t="s">
        <v>162</v>
      </c>
      <c r="I33" s="14"/>
      <c r="J33" s="5" t="s">
        <v>163</v>
      </c>
      <c r="K33" s="5" t="s">
        <v>184</v>
      </c>
      <c r="L33" s="15"/>
      <c r="M33" s="15"/>
    </row>
    <row r="34" customFormat="false" ht="26.85" hidden="false" customHeight="false" outlineLevel="0" collapsed="false">
      <c r="A34" s="10" t="s">
        <v>185</v>
      </c>
      <c r="B34" s="5" t="s">
        <v>186</v>
      </c>
      <c r="C34" s="11" t="s">
        <v>31</v>
      </c>
      <c r="D34" s="5" t="s">
        <v>187</v>
      </c>
      <c r="E34" s="11" t="s">
        <v>188</v>
      </c>
      <c r="F34" s="12" t="n">
        <v>3</v>
      </c>
      <c r="G34" s="11" t="s">
        <v>189</v>
      </c>
      <c r="H34" s="13" t="s">
        <v>162</v>
      </c>
      <c r="I34" s="14"/>
      <c r="J34" s="5" t="s">
        <v>190</v>
      </c>
      <c r="K34" s="5" t="s">
        <v>191</v>
      </c>
      <c r="L34" s="15"/>
      <c r="M34" s="15"/>
    </row>
    <row r="35" customFormat="false" ht="39.55" hidden="false" customHeight="false" outlineLevel="0" collapsed="false">
      <c r="A35" s="10" t="s">
        <v>192</v>
      </c>
      <c r="B35" s="5" t="s">
        <v>193</v>
      </c>
      <c r="C35" s="11" t="s">
        <v>31</v>
      </c>
      <c r="D35" s="5" t="s">
        <v>58</v>
      </c>
      <c r="E35" s="11" t="s">
        <v>33</v>
      </c>
      <c r="F35" s="12" t="n">
        <v>3</v>
      </c>
      <c r="G35" s="11" t="s">
        <v>189</v>
      </c>
      <c r="H35" s="13" t="s">
        <v>162</v>
      </c>
      <c r="I35" s="14"/>
      <c r="J35" s="5" t="s">
        <v>60</v>
      </c>
      <c r="K35" s="5" t="s">
        <v>194</v>
      </c>
      <c r="L35" s="15"/>
      <c r="M35" s="15"/>
    </row>
    <row r="36" customFormat="false" ht="26.85" hidden="false" customHeight="false" outlineLevel="0" collapsed="false">
      <c r="A36" s="10" t="s">
        <v>195</v>
      </c>
      <c r="B36" s="5" t="s">
        <v>196</v>
      </c>
      <c r="C36" s="11" t="s">
        <v>31</v>
      </c>
      <c r="D36" s="5" t="s">
        <v>109</v>
      </c>
      <c r="E36" s="11" t="s">
        <v>33</v>
      </c>
      <c r="F36" s="12" t="n">
        <v>2</v>
      </c>
      <c r="G36" s="11" t="s">
        <v>189</v>
      </c>
      <c r="H36" s="13" t="s">
        <v>162</v>
      </c>
      <c r="I36" s="14"/>
      <c r="J36" s="5" t="s">
        <v>197</v>
      </c>
      <c r="K36" s="5" t="s">
        <v>198</v>
      </c>
      <c r="L36" s="15"/>
      <c r="M36" s="15"/>
    </row>
    <row r="37" customFormat="false" ht="26.85" hidden="false" customHeight="false" outlineLevel="0" collapsed="false">
      <c r="A37" s="10" t="s">
        <v>199</v>
      </c>
      <c r="B37" s="5" t="s">
        <v>200</v>
      </c>
      <c r="C37" s="11" t="s">
        <v>31</v>
      </c>
      <c r="D37" s="5" t="s">
        <v>190</v>
      </c>
      <c r="E37" s="11" t="s">
        <v>188</v>
      </c>
      <c r="F37" s="12" t="n">
        <v>2</v>
      </c>
      <c r="G37" s="11" t="s">
        <v>189</v>
      </c>
      <c r="H37" s="13" t="s">
        <v>162</v>
      </c>
      <c r="I37" s="14"/>
      <c r="J37" s="5" t="s">
        <v>190</v>
      </c>
      <c r="K37" s="5" t="s">
        <v>201</v>
      </c>
      <c r="L37" s="15"/>
      <c r="M37" s="15"/>
    </row>
    <row r="38" customFormat="false" ht="191.75" hidden="false" customHeight="false" outlineLevel="0" collapsed="false">
      <c r="A38" s="10" t="s">
        <v>202</v>
      </c>
      <c r="B38" s="5" t="s">
        <v>203</v>
      </c>
      <c r="C38" s="11" t="s">
        <v>31</v>
      </c>
      <c r="D38" s="5" t="s">
        <v>90</v>
      </c>
      <c r="E38" s="11" t="s">
        <v>188</v>
      </c>
      <c r="F38" s="12" t="n">
        <v>3</v>
      </c>
      <c r="G38" s="11" t="s">
        <v>116</v>
      </c>
      <c r="H38" s="13" t="s">
        <v>35</v>
      </c>
      <c r="I38" s="14" t="n">
        <v>46317</v>
      </c>
      <c r="J38" s="5" t="s">
        <v>91</v>
      </c>
      <c r="K38" s="5" t="s">
        <v>204</v>
      </c>
      <c r="L38" s="15" t="s">
        <v>205</v>
      </c>
      <c r="M38" s="15" t="s">
        <v>206</v>
      </c>
    </row>
    <row r="39" customFormat="false" ht="26.85" hidden="false" customHeight="false" outlineLevel="0" collapsed="false">
      <c r="A39" s="10" t="s">
        <v>207</v>
      </c>
      <c r="B39" s="5" t="s">
        <v>208</v>
      </c>
      <c r="C39" s="11" t="s">
        <v>31</v>
      </c>
      <c r="D39" s="5" t="s">
        <v>115</v>
      </c>
      <c r="E39" s="11" t="s">
        <v>209</v>
      </c>
      <c r="F39" s="12" t="n">
        <v>3</v>
      </c>
      <c r="G39" s="11" t="s">
        <v>189</v>
      </c>
      <c r="H39" s="13" t="s">
        <v>162</v>
      </c>
      <c r="I39" s="14"/>
      <c r="J39" s="5" t="s">
        <v>123</v>
      </c>
      <c r="K39" s="5" t="s">
        <v>210</v>
      </c>
      <c r="L39" s="15"/>
      <c r="M39" s="15"/>
    </row>
    <row r="40" customFormat="false" ht="102.95" hidden="false" customHeight="false" outlineLevel="0" collapsed="false">
      <c r="A40" s="10" t="s">
        <v>211</v>
      </c>
      <c r="B40" s="5" t="s">
        <v>212</v>
      </c>
      <c r="C40" s="11" t="s">
        <v>66</v>
      </c>
      <c r="D40" s="5" t="s">
        <v>115</v>
      </c>
      <c r="E40" s="11" t="s">
        <v>209</v>
      </c>
      <c r="F40" s="12" t="n">
        <v>3</v>
      </c>
      <c r="G40" s="11" t="s">
        <v>189</v>
      </c>
      <c r="H40" s="13" t="s">
        <v>162</v>
      </c>
      <c r="I40" s="14"/>
      <c r="J40" s="5" t="s">
        <v>117</v>
      </c>
      <c r="K40" s="5" t="s">
        <v>213</v>
      </c>
      <c r="L40" s="15"/>
      <c r="M40" s="15" t="s">
        <v>214</v>
      </c>
    </row>
    <row r="41" customFormat="false" ht="166.4" hidden="false" customHeight="false" outlineLevel="0" collapsed="false">
      <c r="A41" s="10" t="s">
        <v>215</v>
      </c>
      <c r="B41" s="5" t="s">
        <v>216</v>
      </c>
      <c r="C41" s="11" t="s">
        <v>66</v>
      </c>
      <c r="D41" s="5" t="s">
        <v>115</v>
      </c>
      <c r="E41" s="11" t="s">
        <v>188</v>
      </c>
      <c r="F41" s="12" t="n">
        <v>3</v>
      </c>
      <c r="G41" s="11" t="s">
        <v>116</v>
      </c>
      <c r="H41" s="13" t="s">
        <v>35</v>
      </c>
      <c r="I41" s="14" t="n">
        <v>46317</v>
      </c>
      <c r="J41" s="5" t="s">
        <v>133</v>
      </c>
      <c r="K41" s="5" t="s">
        <v>217</v>
      </c>
      <c r="L41" s="15" t="s">
        <v>218</v>
      </c>
      <c r="M41" s="15" t="s">
        <v>219</v>
      </c>
    </row>
    <row r="42" customFormat="false" ht="115.65" hidden="false" customHeight="false" outlineLevel="0" collapsed="false">
      <c r="A42" s="10" t="s">
        <v>220</v>
      </c>
      <c r="B42" s="5" t="s">
        <v>221</v>
      </c>
      <c r="C42" s="11" t="s">
        <v>66</v>
      </c>
      <c r="D42" s="5" t="s">
        <v>67</v>
      </c>
      <c r="E42" s="11" t="s">
        <v>33</v>
      </c>
      <c r="F42" s="12" t="n">
        <v>5</v>
      </c>
      <c r="G42" s="11" t="s">
        <v>161</v>
      </c>
      <c r="H42" s="13" t="s">
        <v>162</v>
      </c>
      <c r="I42" s="14"/>
      <c r="J42" s="5" t="s">
        <v>143</v>
      </c>
      <c r="K42" s="5" t="s">
        <v>222</v>
      </c>
      <c r="L42" s="15"/>
      <c r="M42" s="15" t="s">
        <v>223</v>
      </c>
    </row>
    <row r="43" customFormat="false" ht="52.2" hidden="false" customHeight="false" outlineLevel="0" collapsed="false">
      <c r="A43" s="10" t="s">
        <v>224</v>
      </c>
      <c r="B43" s="5" t="s">
        <v>225</v>
      </c>
      <c r="C43" s="11" t="s">
        <v>66</v>
      </c>
      <c r="D43" s="5" t="s">
        <v>160</v>
      </c>
      <c r="E43" s="11" t="s">
        <v>209</v>
      </c>
      <c r="F43" s="12" t="n">
        <v>3</v>
      </c>
      <c r="G43" s="11" t="s">
        <v>189</v>
      </c>
      <c r="H43" s="13" t="s">
        <v>162</v>
      </c>
      <c r="I43" s="14"/>
      <c r="J43" s="5" t="s">
        <v>143</v>
      </c>
      <c r="K43" s="5" t="s">
        <v>226</v>
      </c>
      <c r="L43" s="15"/>
      <c r="M43" s="15" t="s">
        <v>227</v>
      </c>
    </row>
  </sheetData>
  <autoFilter ref="A4:M43"/>
  <conditionalFormatting sqref="H5:H43">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43" type="list">
      <formula1>"Pendiente,En curso,Hecho,Bloqueado"</formula1>
      <formula2>0</formula2>
    </dataValidation>
    <dataValidation allowBlank="false" errorStyle="stop" operator="between" showDropDown="false" showErrorMessage="false" showInputMessage="false" sqref="G5:G43" type="list">
      <formula1>Sprints!$A$5:$A$9</formula1>
      <formula2>0</formula2>
    </dataValidation>
    <dataValidation allowBlank="false" errorStyle="stop" operator="between" showDropDown="false" showErrorMessage="false" showInputMessage="false" sqref="I5:I43"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228</v>
      </c>
    </row>
    <row r="2" customFormat="false" ht="15" hidden="false" customHeight="false" outlineLevel="0" collapsed="false">
      <c r="A2" s="2" t="s">
        <v>229</v>
      </c>
    </row>
    <row r="4" customFormat="false" ht="39.55" hidden="false" customHeight="false" outlineLevel="0" collapsed="false">
      <c r="A4" s="9" t="s">
        <v>22</v>
      </c>
      <c r="B4" s="9" t="s">
        <v>230</v>
      </c>
      <c r="C4" s="9" t="s">
        <v>231</v>
      </c>
      <c r="D4" s="9" t="s">
        <v>232</v>
      </c>
      <c r="E4" s="9" t="s">
        <v>233</v>
      </c>
      <c r="F4" s="9" t="s">
        <v>234</v>
      </c>
      <c r="G4" s="9" t="s">
        <v>235</v>
      </c>
      <c r="H4" s="9" t="s">
        <v>236</v>
      </c>
      <c r="I4" s="9" t="s">
        <v>237</v>
      </c>
      <c r="J4" s="9" t="s">
        <v>238</v>
      </c>
      <c r="K4" s="9" t="s">
        <v>239</v>
      </c>
    </row>
    <row r="5" customFormat="false" ht="141" hidden="false" customHeight="false" outlineLevel="0" collapsed="false">
      <c r="A5" s="3" t="s">
        <v>34</v>
      </c>
      <c r="B5" s="5" t="s">
        <v>240</v>
      </c>
      <c r="C5" s="4" t="n">
        <v>46312</v>
      </c>
      <c r="D5" s="4" t="n">
        <v>46312</v>
      </c>
      <c r="E5" s="5" t="s">
        <v>241</v>
      </c>
      <c r="F5" s="5" t="n">
        <f aca="false">COUNTIF('Product Backlog'!$G$5:$G$43,A5)</f>
        <v>4</v>
      </c>
      <c r="G5" s="5" t="n">
        <f aca="false">SUMIFS('Product Backlog'!$F$5:$F$43,'Product Backlog'!$G$5:$G$43,A5)</f>
        <v>13</v>
      </c>
      <c r="H5" s="5" t="n">
        <f aca="false">SUMIFS('Product Backlog'!$F$5:$F$43,'Product Backlog'!$G$5:$G$43,A5,'Product Backlog'!$H$5:$H$43,"Hecho")</f>
        <v>13</v>
      </c>
      <c r="I5" s="6" t="n">
        <f aca="false">IF(G5=0,0,H5/G5)</f>
        <v>1</v>
      </c>
      <c r="J5" s="15" t="s">
        <v>242</v>
      </c>
      <c r="K5" s="15" t="s">
        <v>243</v>
      </c>
    </row>
    <row r="6" customFormat="false" ht="179.1" hidden="false" customHeight="false" outlineLevel="0" collapsed="false">
      <c r="A6" s="3" t="s">
        <v>59</v>
      </c>
      <c r="B6" s="5" t="s">
        <v>244</v>
      </c>
      <c r="C6" s="4" t="n">
        <v>46313</v>
      </c>
      <c r="D6" s="4" t="n">
        <v>46315</v>
      </c>
      <c r="E6" s="5" t="s">
        <v>245</v>
      </c>
      <c r="F6" s="5" t="n">
        <f aca="false">COUNTIF('Product Backlog'!$G$5:$G$43,A6)</f>
        <v>10</v>
      </c>
      <c r="G6" s="5" t="n">
        <f aca="false">SUMIFS('Product Backlog'!$F$5:$F$43,'Product Backlog'!$G$5:$G$43,A6)</f>
        <v>31</v>
      </c>
      <c r="H6" s="5" t="n">
        <f aca="false">SUMIFS('Product Backlog'!$F$5:$F$43,'Product Backlog'!$G$5:$G$43,A6,'Product Backlog'!$H$5:$H$43,"Hecho")</f>
        <v>31</v>
      </c>
      <c r="I6" s="6" t="n">
        <f aca="false">IF(G6=0,0,H6/G6)</f>
        <v>1</v>
      </c>
      <c r="J6" s="15" t="s">
        <v>246</v>
      </c>
      <c r="K6" s="15" t="s">
        <v>247</v>
      </c>
    </row>
    <row r="7" customFormat="false" ht="229.85" hidden="false" customHeight="false" outlineLevel="0" collapsed="false">
      <c r="A7" s="3" t="s">
        <v>116</v>
      </c>
      <c r="B7" s="5" t="s">
        <v>248</v>
      </c>
      <c r="C7" s="4" t="n">
        <v>46315</v>
      </c>
      <c r="D7" s="4" t="n">
        <v>46317</v>
      </c>
      <c r="E7" s="5" t="s">
        <v>249</v>
      </c>
      <c r="F7" s="5" t="n">
        <f aca="false">COUNTIF('Product Backlog'!$G$5:$G$43,A7)</f>
        <v>10</v>
      </c>
      <c r="G7" s="5" t="n">
        <f aca="false">SUMIFS('Product Backlog'!$F$5:$F$43,'Product Backlog'!$G$5:$G$43,A7)</f>
        <v>43</v>
      </c>
      <c r="H7" s="5" t="n">
        <f aca="false">SUMIFS('Product Backlog'!$F$5:$F$43,'Product Backlog'!$G$5:$G$43,A7,'Product Backlog'!$H$5:$H$43,"Hecho")</f>
        <v>43</v>
      </c>
      <c r="I7" s="6" t="n">
        <f aca="false">IF(G7=0,0,H7/G7)</f>
        <v>1</v>
      </c>
      <c r="J7" s="15" t="s">
        <v>250</v>
      </c>
      <c r="K7" s="15" t="s">
        <v>251</v>
      </c>
    </row>
    <row r="8" customFormat="false" ht="26.85" hidden="false" customHeight="false" outlineLevel="0" collapsed="false">
      <c r="A8" s="3" t="s">
        <v>161</v>
      </c>
      <c r="B8" s="5" t="s">
        <v>160</v>
      </c>
      <c r="C8" s="4" t="n">
        <v>46318</v>
      </c>
      <c r="D8" s="4" t="n">
        <v>46319</v>
      </c>
      <c r="E8" s="5" t="s">
        <v>252</v>
      </c>
      <c r="F8" s="5" t="n">
        <f aca="false">COUNTIF('Product Backlog'!$G$5:$G$43,A8)</f>
        <v>8</v>
      </c>
      <c r="G8" s="5" t="n">
        <f aca="false">SUMIFS('Product Backlog'!$F$5:$F$43,'Product Backlog'!$G$5:$G$43,A8)</f>
        <v>31</v>
      </c>
      <c r="H8" s="5" t="n">
        <f aca="false">SUMIFS('Product Backlog'!$F$5:$F$43,'Product Backlog'!$G$5:$G$43,A8,'Product Backlog'!$H$5:$H$43,"Hecho")</f>
        <v>0</v>
      </c>
      <c r="I8" s="6" t="n">
        <f aca="false">IF(G8=0,0,H8/G8)</f>
        <v>0</v>
      </c>
      <c r="J8" s="15"/>
      <c r="K8" s="15"/>
    </row>
    <row r="9" customFormat="false" ht="26.85" hidden="false" customHeight="false" outlineLevel="0" collapsed="false">
      <c r="A9" s="3" t="s">
        <v>189</v>
      </c>
      <c r="B9" s="5" t="s">
        <v>253</v>
      </c>
      <c r="C9" s="4" t="n">
        <v>46320</v>
      </c>
      <c r="D9" s="4" t="n">
        <v>46321</v>
      </c>
      <c r="E9" s="5" t="s">
        <v>254</v>
      </c>
      <c r="F9" s="5" t="n">
        <f aca="false">COUNTIF('Product Backlog'!$G$5:$G$43,A9)</f>
        <v>7</v>
      </c>
      <c r="G9" s="5" t="n">
        <f aca="false">SUMIFS('Product Backlog'!$F$5:$F$43,'Product Backlog'!$G$5:$G$43,A9)</f>
        <v>19</v>
      </c>
      <c r="H9" s="5" t="n">
        <f aca="false">SUMIFS('Product Backlog'!$F$5:$F$43,'Product Backlog'!$G$5:$G$43,A9,'Product Backlog'!$H$5:$H$43,"Hecho")</f>
        <v>0</v>
      </c>
      <c r="I9" s="6" t="n">
        <f aca="false">IF(G9=0,0,H9/G9)</f>
        <v>0</v>
      </c>
      <c r="J9" s="15"/>
      <c r="K9" s="15"/>
    </row>
    <row r="10" customFormat="false" ht="15" hidden="false" customHeight="false" outlineLevel="0" collapsed="false">
      <c r="A10" s="3" t="s">
        <v>255</v>
      </c>
      <c r="F10" s="3" t="n">
        <f aca="false">SUM(F5:F9)</f>
        <v>39</v>
      </c>
      <c r="G10" s="3" t="n">
        <f aca="false">SUM(G5:G9)</f>
        <v>137</v>
      </c>
      <c r="H10" s="3" t="n">
        <f aca="false">SUM(H5:H9)</f>
        <v>87</v>
      </c>
      <c r="I10" s="16" t="n">
        <f aca="false">IF(G10=0,0,H10/G10)</f>
        <v>0.635036496350365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256</v>
      </c>
    </row>
    <row r="2" customFormat="false" ht="15" hidden="false" customHeight="false" outlineLevel="0" collapsed="false">
      <c r="A2" s="2" t="s">
        <v>257</v>
      </c>
    </row>
    <row r="4" customFormat="false" ht="15" hidden="false" customHeight="false" outlineLevel="0" collapsed="false">
      <c r="A4" s="9" t="s">
        <v>258</v>
      </c>
      <c r="B4" s="9" t="s">
        <v>259</v>
      </c>
      <c r="C4" s="9" t="s">
        <v>260</v>
      </c>
      <c r="D4" s="9" t="s">
        <v>261</v>
      </c>
    </row>
    <row r="5" customFormat="false" ht="15" hidden="false" customHeight="false" outlineLevel="0" collapsed="false">
      <c r="A5" s="3" t="s">
        <v>262</v>
      </c>
      <c r="B5" s="5" t="s">
        <v>263</v>
      </c>
      <c r="C5" s="17" t="n">
        <v>5</v>
      </c>
      <c r="D5" s="5" t="s">
        <v>264</v>
      </c>
    </row>
    <row r="6" customFormat="false" ht="15" hidden="false" customHeight="false" outlineLevel="0" collapsed="false">
      <c r="A6" s="3" t="s">
        <v>262</v>
      </c>
      <c r="B6" s="5" t="s">
        <v>265</v>
      </c>
      <c r="C6" s="17" t="n">
        <v>2</v>
      </c>
      <c r="D6" s="5" t="s">
        <v>266</v>
      </c>
    </row>
    <row r="7" customFormat="false" ht="15" hidden="false" customHeight="false" outlineLevel="0" collapsed="false">
      <c r="A7" s="3" t="s">
        <v>262</v>
      </c>
      <c r="B7" s="5" t="s">
        <v>267</v>
      </c>
      <c r="C7" s="17" t="n">
        <v>2</v>
      </c>
      <c r="D7" s="5" t="s">
        <v>268</v>
      </c>
    </row>
    <row r="8" customFormat="false" ht="15" hidden="false" customHeight="false" outlineLevel="0" collapsed="false">
      <c r="A8" s="3" t="s">
        <v>262</v>
      </c>
      <c r="B8" s="5" t="s">
        <v>269</v>
      </c>
      <c r="C8" s="17" t="n">
        <v>4</v>
      </c>
      <c r="D8" s="5" t="s">
        <v>270</v>
      </c>
    </row>
    <row r="9" customFormat="false" ht="15" hidden="false" customHeight="false" outlineLevel="0" collapsed="false">
      <c r="A9" s="3" t="s">
        <v>262</v>
      </c>
      <c r="B9" s="5" t="s">
        <v>271</v>
      </c>
      <c r="C9" s="17" t="n">
        <v>2</v>
      </c>
      <c r="D9" s="5" t="s">
        <v>272</v>
      </c>
    </row>
    <row r="10" customFormat="false" ht="15" hidden="false" customHeight="false" outlineLevel="0" collapsed="false">
      <c r="A10" s="3" t="s">
        <v>262</v>
      </c>
      <c r="B10" s="5" t="s">
        <v>273</v>
      </c>
      <c r="C10" s="17" t="n">
        <v>5</v>
      </c>
      <c r="D10" s="5" t="s">
        <v>168</v>
      </c>
    </row>
    <row r="11" customFormat="false" ht="15" hidden="false" customHeight="false" outlineLevel="0" collapsed="false">
      <c r="A11" s="3" t="s">
        <v>274</v>
      </c>
      <c r="B11" s="5" t="s">
        <v>275</v>
      </c>
      <c r="C11" s="17" t="n">
        <v>5</v>
      </c>
      <c r="D11" s="5" t="s">
        <v>276</v>
      </c>
    </row>
    <row r="12" customFormat="false" ht="15" hidden="false" customHeight="false" outlineLevel="0" collapsed="false">
      <c r="A12" s="3" t="s">
        <v>274</v>
      </c>
      <c r="B12" s="5" t="s">
        <v>277</v>
      </c>
      <c r="C12" s="17" t="n">
        <v>5</v>
      </c>
      <c r="D12" s="5" t="s">
        <v>278</v>
      </c>
    </row>
    <row r="13" customFormat="false" ht="15" hidden="false" customHeight="false" outlineLevel="0" collapsed="false">
      <c r="A13" s="3" t="s">
        <v>274</v>
      </c>
      <c r="B13" s="5" t="s">
        <v>279</v>
      </c>
      <c r="C13" s="17" t="n">
        <v>5</v>
      </c>
      <c r="D13" s="5" t="s">
        <v>280</v>
      </c>
    </row>
    <row r="14" customFormat="false" ht="26.85" hidden="false" customHeight="false" outlineLevel="0" collapsed="false">
      <c r="A14" s="3" t="s">
        <v>274</v>
      </c>
      <c r="B14" s="5" t="s">
        <v>281</v>
      </c>
      <c r="C14" s="17" t="n">
        <v>5</v>
      </c>
      <c r="D14" s="5" t="s">
        <v>282</v>
      </c>
    </row>
    <row r="15" customFormat="false" ht="15" hidden="false" customHeight="false" outlineLevel="0" collapsed="false">
      <c r="B15" s="3" t="s">
        <v>283</v>
      </c>
      <c r="C15" s="3" t="n">
        <f aca="false">SUMIFS(C5:C14,A5:A14,"Servicios")</f>
        <v>20</v>
      </c>
    </row>
    <row r="16" customFormat="false" ht="15" hidden="false" customHeight="false" outlineLevel="0" collapsed="false">
      <c r="B16" s="3" t="s">
        <v>284</v>
      </c>
      <c r="C16" s="3" t="n">
        <f aca="false">SUMIFS(C5:C14,A5:A14,"Arquitectura")</f>
        <v>20</v>
      </c>
    </row>
    <row r="17" customFormat="false" ht="15" hidden="false" customHeight="false" outlineLevel="0" collapsed="false">
      <c r="B17" s="3" t="s">
        <v>285</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286</v>
      </c>
    </row>
    <row r="2" customFormat="false" ht="15" hidden="false" customHeight="false" outlineLevel="0" collapsed="false">
      <c r="A2" s="2" t="s">
        <v>287</v>
      </c>
    </row>
    <row r="4" customFormat="false" ht="15" hidden="false" customHeight="false" outlineLevel="0" collapsed="false">
      <c r="A4" s="9" t="s">
        <v>288</v>
      </c>
      <c r="B4" s="9" t="s">
        <v>289</v>
      </c>
      <c r="C4" s="9" t="s">
        <v>290</v>
      </c>
    </row>
    <row r="5" customFormat="false" ht="15" hidden="false" customHeight="false" outlineLevel="0" collapsed="false">
      <c r="A5" s="18" t="n">
        <v>46312</v>
      </c>
      <c r="B5" s="19" t="n">
        <f aca="false">Resumen!$B$7*(1-0/9)</f>
        <v>137</v>
      </c>
      <c r="C5" s="5" t="n">
        <f aca="false">Resumen!$B$7-SUMIFS('Product Backlog'!$F$5:$F$43,'Product Backlog'!$H$5:$H$43,"Hecho",'Product Backlog'!$I$5:$I$43,"&lt;="&amp;A5)</f>
        <v>124</v>
      </c>
    </row>
    <row r="6" customFormat="false" ht="15" hidden="false" customHeight="false" outlineLevel="0" collapsed="false">
      <c r="A6" s="18" t="n">
        <v>46313</v>
      </c>
      <c r="B6" s="19" t="n">
        <f aca="false">Resumen!$B$7*(1-1/9)</f>
        <v>121.777777777778</v>
      </c>
      <c r="C6" s="5" t="n">
        <f aca="false">Resumen!$B$7-SUMIFS('Product Backlog'!$F$5:$F$43,'Product Backlog'!$H$5:$H$43,"Hecho",'Product Backlog'!$I$5:$I$43,"&lt;="&amp;A6)</f>
        <v>115</v>
      </c>
    </row>
    <row r="7" customFormat="false" ht="15" hidden="false" customHeight="false" outlineLevel="0" collapsed="false">
      <c r="A7" s="18" t="n">
        <v>46314</v>
      </c>
      <c r="B7" s="19" t="n">
        <f aca="false">Resumen!$B$7*(1-2/9)</f>
        <v>106.555555555556</v>
      </c>
      <c r="C7" s="5" t="n">
        <f aca="false">Resumen!$B$7-SUMIFS('Product Backlog'!$F$5:$F$43,'Product Backlog'!$H$5:$H$43,"Hecho",'Product Backlog'!$I$5:$I$43,"&lt;="&amp;A7)</f>
        <v>109</v>
      </c>
    </row>
    <row r="8" customFormat="false" ht="15" hidden="false" customHeight="false" outlineLevel="0" collapsed="false">
      <c r="A8" s="18" t="n">
        <v>46315</v>
      </c>
      <c r="B8" s="19" t="n">
        <f aca="false">Resumen!$B$7*(1-3/9)</f>
        <v>91.3333333333333</v>
      </c>
      <c r="C8" s="5" t="n">
        <f aca="false">Resumen!$B$7-SUMIFS('Product Backlog'!$F$5:$F$43,'Product Backlog'!$H$5:$H$43,"Hecho",'Product Backlog'!$I$5:$I$43,"&lt;="&amp;A8)</f>
        <v>93</v>
      </c>
    </row>
    <row r="9" customFormat="false" ht="15" hidden="false" customHeight="false" outlineLevel="0" collapsed="false">
      <c r="A9" s="18" t="n">
        <v>46316</v>
      </c>
      <c r="B9" s="19" t="n">
        <f aca="false">Resumen!$B$7*(1-4/9)</f>
        <v>76.1111111111111</v>
      </c>
      <c r="C9" s="5" t="n">
        <f aca="false">Resumen!$B$7-SUMIFS('Product Backlog'!$F$5:$F$43,'Product Backlog'!$H$5:$H$43,"Hecho",'Product Backlog'!$I$5:$I$43,"&lt;="&amp;A9)</f>
        <v>66</v>
      </c>
    </row>
    <row r="10" customFormat="false" ht="15" hidden="false" customHeight="false" outlineLevel="0" collapsed="false">
      <c r="A10" s="18" t="n">
        <v>46317</v>
      </c>
      <c r="B10" s="19" t="n">
        <f aca="false">Resumen!$B$7*(1-5/9)</f>
        <v>60.8888888888889</v>
      </c>
      <c r="C10" s="5" t="n">
        <f aca="false">Resumen!$B$7-SUMIFS('Product Backlog'!$F$5:$F$43,'Product Backlog'!$H$5:$H$43,"Hecho",'Product Backlog'!$I$5:$I$43,"&lt;="&amp;A10)</f>
        <v>50</v>
      </c>
    </row>
    <row r="11" customFormat="false" ht="15" hidden="false" customHeight="false" outlineLevel="0" collapsed="false">
      <c r="A11" s="18" t="n">
        <v>46318</v>
      </c>
      <c r="B11" s="19" t="n">
        <f aca="false">Resumen!$B$7*(1-6/9)</f>
        <v>45.6666666666667</v>
      </c>
      <c r="C11" s="5" t="n">
        <f aca="false">Resumen!$B$7-SUMIFS('Product Backlog'!$F$5:$F$43,'Product Backlog'!$H$5:$H$43,"Hecho",'Product Backlog'!$I$5:$I$43,"&lt;="&amp;A11)</f>
        <v>50</v>
      </c>
    </row>
    <row r="12" customFormat="false" ht="15" hidden="false" customHeight="false" outlineLevel="0" collapsed="false">
      <c r="A12" s="18" t="n">
        <v>46319</v>
      </c>
      <c r="B12" s="19" t="n">
        <f aca="false">Resumen!$B$7*(1-7/9)</f>
        <v>30.4444444444444</v>
      </c>
      <c r="C12" s="5" t="n">
        <f aca="false">Resumen!$B$7-SUMIFS('Product Backlog'!$F$5:$F$43,'Product Backlog'!$H$5:$H$43,"Hecho",'Product Backlog'!$I$5:$I$43,"&lt;="&amp;A12)</f>
        <v>50</v>
      </c>
    </row>
    <row r="13" customFormat="false" ht="15" hidden="false" customHeight="false" outlineLevel="0" collapsed="false">
      <c r="A13" s="18" t="n">
        <v>46320</v>
      </c>
      <c r="B13" s="19" t="n">
        <f aca="false">Resumen!$B$7*(1-8/9)</f>
        <v>15.2222222222222</v>
      </c>
      <c r="C13" s="5" t="n">
        <f aca="false">Resumen!$B$7-SUMIFS('Product Backlog'!$F$5:$F$43,'Product Backlog'!$H$5:$H$43,"Hecho",'Product Backlog'!$I$5:$I$43,"&lt;="&amp;A13)</f>
        <v>50</v>
      </c>
    </row>
    <row r="14" customFormat="false" ht="15" hidden="false" customHeight="false" outlineLevel="0" collapsed="false">
      <c r="A14" s="18" t="n">
        <v>46321</v>
      </c>
      <c r="B14" s="19" t="n">
        <f aca="false">Resumen!$B$7*(1-9/9)</f>
        <v>0</v>
      </c>
      <c r="C14" s="5" t="n">
        <f aca="false">Resumen!$B$7-SUMIFS('Product Backlog'!$F$5:$F$43,'Product Backlog'!$H$5:$H$43,"Hecho",'Product Backlog'!$I$5:$I$43,"&lt;="&amp;A14)</f>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2026-10-23T01:52:10Z</dcterms:created>
  <dc:creator>openpyxl</dc:creator>
  <dc:description/>
  <dc:language>en-US</dc:language>
  <cp:lastModifiedBy/>
  <dcterms:modified xsi:type="dcterms:W3CDTF">2026-10-22T20:52:12Z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
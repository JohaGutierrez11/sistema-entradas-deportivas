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roduct Backlog" sheetId="2" state="visible" r:id="rId4"/>
    <sheet name="Sprints" sheetId="3" state="visible" r:id="rId5"/>
    <sheet name="Rúbrica" sheetId="4" state="visible" r:id="rId6"/>
    <sheet name="Burndown" sheetId="5" state="visible" r:id="rId7"/>
  </sheets>
  <definedNames>
    <definedName function="false" hidden="true" localSheetId="1" name="_xlnm._FilterDatabase" vbProcedure="false">'Product Backlog'!$A$4:$M$39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<sst xmlns="http://schemas.openxmlformats.org/spreadsheetml/2006/main" count="455" uniqueCount="262">
  <si>
    <t xml:space="preserve">Plan de Sprints — Sistema de Gestión de Entradas para Eventos Deportivos</t>
  </si>
  <si>
    <t xml:space="preserve">Complexivo práctico · Ingeniería en Sistemas de Información (UCE) · Metodología: Scrum adaptado (sprints cortos)</t>
  </si>
  <si>
    <t xml:space="preserve">Inicio del proyecto</t>
  </si>
  <si>
    <t xml:space="preserve">Fecha de entrega</t>
  </si>
  <si>
    <t xml:space="preserve">Total de historias</t>
  </si>
  <si>
    <t xml:space="preserve">Story points totales</t>
  </si>
  <si>
    <t xml:space="preserve">Story points completados</t>
  </si>
  <si>
    <t xml:space="preserve">Avance del proyecto</t>
  </si>
  <si>
    <t xml:space="preserve">Historias completadas</t>
  </si>
  <si>
    <t xml:space="preserve">Cómo usar este archivo</t>
  </si>
  <si>
    <t xml:space="preserve">• Edita solo las celdas amarillas: Estado, Fecha completada, Rama / PR y Notas en 'Product Backlog', y Review / Retrospectiva en 'Sprints'.</t>
  </si>
  <si>
    <t xml:space="preserve">• Al marcar una historia como 'Hecho', pon la fecha en que se terminó: alimenta el burndown.</t>
  </si>
  <si>
    <t xml:space="preserve">• Puntos de historia en escala Fibonacci (1, 2, 3, 5, 8): miden complejidad relativa, no horas.</t>
  </si>
  <si>
    <t xml:space="preserve">• Prioridad MoSCoW: Must = obligatorio por enunciado/rúbrica; Should = suma valor en la defensa.</t>
  </si>
  <si>
    <t xml:space="preserve">Product Backlog</t>
  </si>
  <si>
    <t xml:space="preserve">Celdas amarillas = editables (Estado, Fecha completada, Rama / PR, Notas). El resto es la planificación.</t>
  </si>
  <si>
    <t xml:space="preserve">ID</t>
  </si>
  <si>
    <t xml:space="preserve">Historia de usuario</t>
  </si>
  <si>
    <t xml:space="preserve">Tipo</t>
  </si>
  <si>
    <t xml:space="preserve">Componente</t>
  </si>
  <si>
    <t xml:space="preserve">Prioridad</t>
  </si>
  <si>
    <t xml:space="preserve">Story points</t>
  </si>
  <si>
    <t xml:space="preserve">Sprint</t>
  </si>
  <si>
    <t xml:space="preserve">Estado</t>
  </si>
  <si>
    <t xml:space="preserve">Fecha completada</t>
  </si>
  <si>
    <t xml:space="preserve">Ítem de rúbrica</t>
  </si>
  <si>
    <t xml:space="preserve">Criterios de aceptación</t>
  </si>
  <si>
    <t xml:space="preserve">Rama / PR</t>
  </si>
  <si>
    <t xml:space="preserve">Notas</t>
  </si>
  <si>
    <t xml:space="preserve">HU-01</t>
  </si>
  <si>
    <t xml:space="preserve">Como desarrolladora, quiero el entorno instalado (JDK 21, IntelliJ, Docker, Node, Git, Apidog) para poder construir el sistema</t>
  </si>
  <si>
    <t xml:space="preserve">Técnica</t>
  </si>
  <si>
    <t xml:space="preserve">Infraestructura</t>
  </si>
  <si>
    <t xml:space="preserve">Must</t>
  </si>
  <si>
    <t xml:space="preserve">Sprint 0</t>
  </si>
  <si>
    <t xml:space="preserve">Hecho</t>
  </si>
  <si>
    <t xml:space="preserve">—</t>
  </si>
  <si>
    <t xml:space="preserve">Todos los comandos de versión responden; Docker levanta un contenedor PostgreSQL</t>
  </si>
  <si>
    <t xml:space="preserve">JDK 17, IntelliJ, Docker (hello-world OK), Node, Git, VS Code. Apidog instalado.</t>
  </si>
  <si>
    <t xml:space="preserve">HU-02</t>
  </si>
  <si>
    <t xml:space="preserve">Como equipo, quiero un modelo ER con las 11 entidades, cardinalidades y reglas de integridad para diseñar la base de datos</t>
  </si>
  <si>
    <t xml:space="preserve">Base de datos</t>
  </si>
  <si>
    <t xml:space="preserve">Modelo ER, Scripts SQL (5)</t>
  </si>
  <si>
    <t xml:space="preserve">11 entidades; cardinalidades y participación indicadas; estado del asiento por partido modelado</t>
  </si>
  <si>
    <t xml:space="preserve">docs/HU-02-modelo-er · PR #1 · fix/HU-02-ruta-docs · PR #2</t>
  </si>
  <si>
    <t xml:space="preserve">12 tablas en 3 BD. Ruta corregida en PR #2. Actualizado con public_id UUID (decisión 12) en la rama de HU-03.</t>
  </si>
  <si>
    <t xml:space="preserve">HU-03</t>
  </si>
  <si>
    <t xml:space="preserve">Como equipo, quiero un script SQL de creación con PK, FK y restricciones para generar la base de datos</t>
  </si>
  <si>
    <t xml:space="preserve">El script corre sin errores en una BD vacía; UNIQUE(partido, asiento); CHECK de tipos de sección</t>
  </si>
  <si>
    <t xml:space="preserve">feature/HU-03-script-sql · PR #3</t>
  </si>
  <si>
    <t xml:space="preserve">3 scripts de esquema + 65 pruebas de restricciones (65/65 PASS). Id interno BIGINT + public_id UUID.</t>
  </si>
  <si>
    <t xml:space="preserve">HU-04</t>
  </si>
  <si>
    <t xml:space="preserve">Como equipo, quiero un script semilla con al menos 5 registros por tabla para tener datos de prueba</t>
  </si>
  <si>
    <t xml:space="preserve">≥5 registros por tabla; ninguna violación de FK ni de restricciones</t>
  </si>
  <si>
    <t xml:space="preserve">feature/HU-04-datos-semilla · PR #4</t>
  </si>
  <si>
    <t xml:space="preserve">Semillas de las 3 bases (≥5 por tabla, 610 asientos generados) + 36 verificaciones + setup-db.ps1 + estado BLOQUEADO. 106/106 PASS.</t>
  </si>
  <si>
    <t xml:space="preserve">HU-05</t>
  </si>
  <si>
    <t xml:space="preserve">Como equipo, quiero un repositorio GitHub con carpetas backend y frontend para versionar el proyecto</t>
  </si>
  <si>
    <t xml:space="preserve">Repositorio</t>
  </si>
  <si>
    <t xml:space="preserve">Sprint 1</t>
  </si>
  <si>
    <t xml:space="preserve">Entregable GitHub</t>
  </si>
  <si>
    <t xml:space="preserve">Repo creado con estructura backend/ y frontend/ y primer commit</t>
  </si>
  <si>
    <t xml:space="preserve">chore/HU-05-estructura-proyecto · PR #7</t>
  </si>
  <si>
    <t xml:space="preserve">backend/match-service (Spring Boot 4.1.1, Java 17, puerto 8082, conectado a match_db) y frontend/ (React + Vite, puerto 5173). Nombres en inglés: match-service, auth-service, reservation-service.</t>
  </si>
  <si>
    <t xml:space="preserve">HU-06</t>
  </si>
  <si>
    <t xml:space="preserve">Como administrador, quiero registrar un escenario deportivo (nombre, descripción, ubicación, capacidad) para gestionar estadios</t>
  </si>
  <si>
    <t xml:space="preserve">Funcional</t>
  </si>
  <si>
    <t xml:space="preserve">MS Partidos</t>
  </si>
  <si>
    <t xml:space="preserve">Microservicio de partidos (5)</t>
  </si>
  <si>
    <t xml:space="preserve">CRUD responde 201/200/404; capacidad positiva validada</t>
  </si>
  <si>
    <t xml:space="preserve">docs/HU-06-contrato-ms-partidos · PR #5 · feature/HU-06-crud-estadios · PR #8</t>
  </si>
  <si>
    <t xml:space="preserve">CRUD de estadios: GET lista/por id, POST (201 + Location), PUT, DELETE (204). Errores Problem Details: 400 por campo, 404, 409 (nombre duplicado en 2 capas; estadio con secciones/partidos), 422 (capacidad &lt; secciones). NOT NULL/CHECK → 500 para no ocultar bugs. Listas blancas @Pattern. Riesgo abierto: sin Spring Security hasta HU-11/12. Mejora: índice único sobre LOWER(name).</t>
  </si>
  <si>
    <t xml:space="preserve">HU-07</t>
  </si>
  <si>
    <t xml:space="preserve">Como administrador, quiero registrar secciones (PALCOS, GENERAL, PREFERENCIA, TRIBUNAS), filas con letras y asientos para definir la distribución física</t>
  </si>
  <si>
    <t xml:space="preserve">Tipo de sección fuera del catálogo → 400; filas A, B, C consecutivas; asientos generados por fila</t>
  </si>
  <si>
    <t xml:space="preserve">feature/HU-07-secciones · PR #9</t>
  </si>
  <si>
    <t xml:space="preserve">Entidades Section/SeatRow/Seat con relaciones y cascade. GET y POST de secciones: genera filas A..Z y asientos 1..N en una transacción. 400 tipo fuera de catálogo / rangos; 404; 409 nombre por estadio; 422 si supera la capacidad del estadio. Pendiente (nueva HU): editar/eliminar sección y endpoint layout. Mejora: bloqueo pesimista para la regla de capacidad con concurrencia.</t>
  </si>
  <si>
    <t xml:space="preserve">HU-08</t>
  </si>
  <si>
    <t xml:space="preserve">Como administrador, quiero registrar partidos (nombre, descripción, fecha, hora, estado, escenario) para publicarlos</t>
  </si>
  <si>
    <t xml:space="preserve">Escenario inexistente → 404; fecha pasada rechazada</t>
  </si>
  <si>
    <t xml:space="preserve">feature/HU-08-partidos · PR #10</t>
  </si>
  <si>
    <t xml:space="preserve">POST/GET/PUT de partidos. Nace PROGRAMADO; fecha+hora pasadas (hora de Ecuador) → 422; estadio inexistente → 404. Máquina de estados en MatchStatus: PROGRAMADO→EN_CURSO→FINALIZADO y PROGRAMADO→CANCELADO; estados finales no se modifican (422). No se cambia de estadio (asientos reservados). No se eliminan partidos: se cancelan. Mass assignment de status bloqueado por DTO. 400 con mensaje claro para JSON/formato inválido.</t>
  </si>
  <si>
    <t xml:space="preserve">HU-09</t>
  </si>
  <si>
    <t xml:space="preserve">Como cliente, quiero consultar partidos filtrando por fecha, nombre o estadio para encontrar el evento que busco</t>
  </si>
  <si>
    <t xml:space="preserve">Consulta de partidos (2)</t>
  </si>
  <si>
    <t xml:space="preserve">Cada filtro funciona solo y combinado; sin resultados → lista vacía, no error</t>
  </si>
  <si>
    <t xml:space="preserve">feature/HU-09-catalogo-partidos · PR #11</t>
  </si>
  <si>
    <t xml:space="preserve">GET /matches con filtros opcionales y combinables (date, name, stadiumId, status) usando Specification. Sin filtros: PROGRAMADO desde hoy, orden por fecha y hora. Sin resultados → []. fetch del estadio contra N+1. Parámetros inválidos → 400 con lista errors. Pendiente: fijar idioma de mensajes (spring.web.locale: es).</t>
  </si>
  <si>
    <t xml:space="preserve">HU-10</t>
  </si>
  <si>
    <t xml:space="preserve">Como cliente, quiero registrarme y recibir por correo mi username y contraseña de primer acceso para validar mi cuenta</t>
  </si>
  <si>
    <t xml:space="preserve">MS Usuarios/Auth</t>
  </si>
  <si>
    <t xml:space="preserve">Microservicio de autenticación (5)</t>
  </si>
  <si>
    <t xml:space="preserve">Correo inválido → 400; cédula/correo duplicado → 409; el correo llega con las credenciales</t>
  </si>
  <si>
    <t xml:space="preserve">feature/HU-14-swagger · PR de cierre del Sprint 1</t>
  </si>
  <si>
    <t xml:space="preserve">auth-service (8081, auth_db). Registro: usuario generado (inicial + apellido, sin tildes, con número si existe), contraseña temporal con SecureRandom enviada por correo (Mailpit), nunca devuelta por la API. @CedulaEcuatoriana (módulo 10) y teléfono ecuatoriano. 409 por cédula o correo repetido.</t>
  </si>
  <si>
    <t xml:space="preserve">HU-11</t>
  </si>
  <si>
    <t xml:space="preserve">Como usuario, quiero iniciar sesión y obtener un token según mi rol para acceder a mis funcionalidades</t>
  </si>
  <si>
    <t xml:space="preserve">Credenciales malas → 401 con mensaje genérico; usuario inactivo → 403; 5 intentos fallidos → BLOQUEADO 15 min (423); login exitoso reinicia el contador; token con rol y expiración</t>
  </si>
  <si>
    <t xml:space="preserve">Login JWT HS256 (sub, role, userId, clientId; 60 min). 401 genérico; 423 bloqueada (antes de la contraseña); 403 inactiva (después); 5 intentos → BLOQUEADO 15 min con noRollbackFor. Cambio de contraseña: usuario tomado del token. Bug encontrado vía Swagger: el endpoint de login no estaba expuesto.</t>
  </si>
  <si>
    <t xml:space="preserve">HU-12</t>
  </si>
  <si>
    <t xml:space="preserve">Como administrador, quiero gestionar usuarios y roles con estado ACTIVO/INACTIVO para controlar el acceso</t>
  </si>
  <si>
    <t xml:space="preserve">Cliente llamando endpoint admin → 403; usuario desactivado no puede iniciar sesión</t>
  </si>
  <si>
    <t xml:space="preserve">Solo ADMIN: listar usuarios y roles, activar/desactivar. ACTIVO desbloquea. No se asigna BLOQUEADO a mano, no se desactiva la propia cuenta ni el rol ADMIN (422). Roles en el JWT → 401/403.</t>
  </si>
  <si>
    <t xml:space="preserve">HU-13</t>
  </si>
  <si>
    <t xml:space="preserve">Como equipo, quiero contraseñas con hash BCrypt y DTOs validados para cumplir la seguridad pedida (CID/AAA)</t>
  </si>
  <si>
    <t xml:space="preserve">Ninguna contraseña en texto plano en BD; campos obligatorios vacíos → 400</t>
  </si>
  <si>
    <t xml:space="preserve">Contraseñas solo como hash BCrypt ($2a$10$). DTOs validados con lista errors (400), mensajes en español.</t>
  </si>
  <si>
    <t xml:space="preserve">HU-14</t>
  </si>
  <si>
    <t xml:space="preserve">Como equipo, quiero Swagger/OpenAPI en Partidos y Auth para documentar las APIs</t>
  </si>
  <si>
    <t xml:space="preserve">Documentación</t>
  </si>
  <si>
    <t xml:space="preserve">Entregable Backend</t>
  </si>
  <si>
    <t xml:space="preserve">/swagger-ui accesible en ambos servicios</t>
  </si>
  <si>
    <t xml:space="preserve">Swagger en match-service (8082) y auth-service (8081, con botón Authorize). Contrato docs/apis/auth-service.openapi.yaml para Apidog.</t>
  </si>
  <si>
    <t xml:space="preserve">HU-15</t>
  </si>
  <si>
    <t xml:space="preserve">Como cliente, quiero ver la disponibilidad de asientos de un partido para elegir dónde sentarme</t>
  </si>
  <si>
    <t xml:space="preserve">MS Reservas</t>
  </si>
  <si>
    <t xml:space="preserve">Sprint 2</t>
  </si>
  <si>
    <t xml:space="preserve">En curso</t>
  </si>
  <si>
    <t xml:space="preserve">Realizar reserva (4)</t>
  </si>
  <si>
    <t xml:space="preserve">Asiento reservado aparece ocupado para ese partido y libre para otro partido</t>
  </si>
  <si>
    <t xml:space="preserve">feature/HU-22-reservation-service</t>
  </si>
  <si>
    <t xml:space="preserve">Entidades Reservation/SeatLock/Ticket/Parameter. GET /matches/{id}/availability devuelve solo asientos ocupados (RESERVED, o HELD con reserva sin vencer) y refreshSeconds del parámetro. Sin @Transactional por la llamada remota. Smoke test 200 OK. Faltan: pruebas de vencimiento (35–37), partido sin reservas, 404, 401, 503.</t>
  </si>
  <si>
    <t xml:space="preserve">HU-16</t>
  </si>
  <si>
    <t xml:space="preserve">Como cliente, quiero reservar hasta 6 asientos por partido para asistir con acompañantes</t>
  </si>
  <si>
    <t xml:space="preserve">Microservicio de reservas (5)</t>
  </si>
  <si>
    <t xml:space="preserve">7.ª entrada → 422; asiento ocupado → 409; dos reservas simultáneas del mismo asiento → solo una gana; máximo leído de Parámetro</t>
  </si>
  <si>
    <t xml:space="preserve">Diseño entregado: POST /reservations y GET /reservations/{publicId}. Llamada a match-service fuera de la transacción (ReservationService) y escritura en ReservationWriter (@Transactional, por el proxy de Spring). Máximo por parámetro → 422, ocupado → 409 (consulta + UNIQUE con saveAndFlush), solo CLIENTE → 403, IDOR → 404. Código RES-AAAA-XXXXXX aleatorio. Contrato docs/apis/reservation-service.openapi.yaml (design-first). Faltan: implementar y 15 casos de prueba.</t>
  </si>
  <si>
    <t xml:space="preserve">HU-17</t>
  </si>
  <si>
    <t xml:space="preserve">Como sistema, quiero liberar los asientos de reservas no confirmadas a tiempo para que vuelvan a estar disponibles</t>
  </si>
  <si>
    <t xml:space="preserve">Pendiente</t>
  </si>
  <si>
    <t xml:space="preserve">Reserva pendiente pasado el tiempo del parámetro → EXPIRADA y asientos libres</t>
  </si>
  <si>
    <t xml:space="preserve">HU-18</t>
  </si>
  <si>
    <t xml:space="preserve">Como cliente, quiero un ticket electrónico con QR único por cada entrada para ingresar al estadio</t>
  </si>
  <si>
    <t xml:space="preserve">Código QR (2)</t>
  </si>
  <si>
    <t xml:space="preserve">1 ticket por asiento; código QR no secuencial ni repetido</t>
  </si>
  <si>
    <t xml:space="preserve">HU-19</t>
  </si>
  <si>
    <t xml:space="preserve">Como cliente o administrador, quiero cancelar reservas activas no expiradas ni utilizadas para liberar asientos</t>
  </si>
  <si>
    <t xml:space="preserve">Cancelar reserva EXPIRADA o UTILIZADA → 409; cliente no cancela reservas ajenas → 403</t>
  </si>
  <si>
    <t xml:space="preserve">HU-20</t>
  </si>
  <si>
    <t xml:space="preserve">Como cliente, quiero un reporte "Mis reservas" con historial, tickets y estado, descargable en PDF</t>
  </si>
  <si>
    <t xml:space="preserve">Implementación aplicación web (10)</t>
  </si>
  <si>
    <t xml:space="preserve">Solo muestra reservas propias; PDF se genera y abre</t>
  </si>
  <si>
    <t xml:space="preserve">HU-21</t>
  </si>
  <si>
    <t xml:space="preserve">Como administrador, quiero un reporte consolidado con filtros (fechas, partido, estado) e indicadores de ocupación, en PDF</t>
  </si>
  <si>
    <t xml:space="preserve">Ocupación por partido y por sección calculada correctamente; filtros combinables</t>
  </si>
  <si>
    <t xml:space="preserve">HU-22</t>
  </si>
  <si>
    <t xml:space="preserve">Como equipo, quiero que Reservas consulte a Partidos y valide el token por REST para mantener la integridad entre servicios</t>
  </si>
  <si>
    <t xml:space="preserve">Integración</t>
  </si>
  <si>
    <t xml:space="preserve">Comunicación entre microservicios</t>
  </si>
  <si>
    <t xml:space="preserve">Asiento inexistente en Partidos → 404 desde Reservas; Partidos caído → error controlado</t>
  </si>
  <si>
    <t xml:space="preserve">reservation-service (8083, reservation_db) valida el JWT de auth-service sin llamarlo (mismo secreto) y GET /me. match-service ahora exige JWT de ADMIN para escribir y expone POST /internal/seats/validate con X-Internal-Key (comparación MessageDigest.isEqual). Cliente RestClient con timeouts 2 s/3 s: 404 se propaga, caída → 503. Smoke test OK (servicio arriba). Faltan: pruebas 404/503 y PR.</t>
  </si>
  <si>
    <t xml:space="preserve">HU-23</t>
  </si>
  <si>
    <t xml:space="preserve">Como usuario, quiero pantallas de inicio de sesión y registro para acceder al sistema</t>
  </si>
  <si>
    <t xml:space="preserve">Frontend</t>
  </si>
  <si>
    <t xml:space="preserve">Sprint 3</t>
  </si>
  <si>
    <t xml:space="preserve">Acceso a la aplicación web (2)</t>
  </si>
  <si>
    <t xml:space="preserve">Mensajes de error claros; tras login redirige según rol</t>
  </si>
  <si>
    <t xml:space="preserve">HU-24</t>
  </si>
  <si>
    <t xml:space="preserve">Como cliente, quiero un catálogo de partidos con búsqueda por fecha para elegir un evento</t>
  </si>
  <si>
    <t xml:space="preserve">Búsqueda por fecha funciona; muestra estadio, fecha y hora</t>
  </si>
  <si>
    <t xml:space="preserve">HU-25</t>
  </si>
  <si>
    <t xml:space="preserve">Como cliente, quiero un mapa gráfico de asientos por sección y fila con disponibilidad en tiempo real para elegir mis asientos</t>
  </si>
  <si>
    <t xml:space="preserve">Usabilidad y experiencia de usuario (5)</t>
  </si>
  <si>
    <t xml:space="preserve">Colores libre/ocupado/seleccionado con leyenda; se actualiza sin recargar; no deja elegir más de 6</t>
  </si>
  <si>
    <t xml:space="preserve">HU-26</t>
  </si>
  <si>
    <t xml:space="preserve">Como cliente, quiero un formulario de confirmación de reserva (máximo 6) para cerrar mi compra</t>
  </si>
  <si>
    <t xml:space="preserve">Resumen antes de confirmar; error 409/422 mostrado en lenguaje claro</t>
  </si>
  <si>
    <t xml:space="preserve">HU-27</t>
  </si>
  <si>
    <t xml:space="preserve">Como cliente, quiero ver mi boleto electrónico con código QR para presentarlo en el ingreso</t>
  </si>
  <si>
    <t xml:space="preserve">QR visible y legible por un lector de celular</t>
  </si>
  <si>
    <t xml:space="preserve">HU-28</t>
  </si>
  <si>
    <t xml:space="preserve">Como administrador, quiero pantallas de usuarios/roles, estadios, partidos, reservas por evento y reporte general</t>
  </si>
  <si>
    <t xml:space="preserve">Consumo de microservicios desde la interfaz (5)</t>
  </si>
  <si>
    <t xml:space="preserve">Cada pantalla consume su microservicio; operaciones CRUD visibles</t>
  </si>
  <si>
    <t xml:space="preserve">HU-29</t>
  </si>
  <si>
    <t xml:space="preserve">Como usuario, quiero ver solo las opciones de mi rol para no acceder a funciones ajenas</t>
  </si>
  <si>
    <t xml:space="preserve">Cliente no ve menú admin; URL admin sin permiso redirige</t>
  </si>
  <si>
    <t xml:space="preserve">HU-30</t>
  </si>
  <si>
    <t xml:space="preserve">Como QA, quiero pruebas E2E en Apidog de las reglas de negocio para demostrar que el sistema funciona</t>
  </si>
  <si>
    <t xml:space="preserve">Calidad</t>
  </si>
  <si>
    <t xml:space="preserve">Should</t>
  </si>
  <si>
    <t xml:space="preserve">Sprint 4</t>
  </si>
  <si>
    <t xml:space="preserve">Defensa</t>
  </si>
  <si>
    <t xml:space="preserve">Escenarios: 7.ª entrada, asiento ocupado, rol sin permiso, expiración — todos en verde</t>
  </si>
  <si>
    <t xml:space="preserve">HU-31</t>
  </si>
  <si>
    <t xml:space="preserve">Como evaluador, quiero un README con instrucciones de despliegue, .env de ejemplo y docker compose para levantar el sistema</t>
  </si>
  <si>
    <t xml:space="preserve">Un tercero levanta todo siguiendo solo el README</t>
  </si>
  <si>
    <t xml:space="preserve">HU-32</t>
  </si>
  <si>
    <t xml:space="preserve">Como evaluador, quiero diagramas de arquitectura para entender la interacción entre componentes</t>
  </si>
  <si>
    <t xml:space="preserve">Arquitectura de software</t>
  </si>
  <si>
    <t xml:space="preserve">Diagrama de componentes y de despliegue incluidos</t>
  </si>
  <si>
    <t xml:space="preserve">HU-33</t>
  </si>
  <si>
    <t xml:space="preserve">Como estudiante, quiero ensayar la defensa para justificar cada decisión técnica</t>
  </si>
  <si>
    <t xml:space="preserve">Ensayo completo con preguntas probables respondidas</t>
  </si>
  <si>
    <t xml:space="preserve">HU-34</t>
  </si>
  <si>
    <t xml:space="preserve">Como auditor, quiero un registro de auditoría (audit_log) de inicios de sesión y operaciones sobre reservas para cumplir la tríada AAA</t>
  </si>
  <si>
    <t xml:space="preserve">Login, cancelación y cambios de estado quedan registrados con usuario, acción y fecha</t>
  </si>
  <si>
    <t xml:space="preserve">HU-35</t>
  </si>
  <si>
    <t xml:space="preserve">Como cliente, quiero que un doble clic o un reintento no cree dos reservas iguales (llave de idempotencia)</t>
  </si>
  <si>
    <t xml:space="preserve">Could</t>
  </si>
  <si>
    <t xml:space="preserve">Dos POST con la misma Idempotency-Key devuelven la misma reserva, sin duplicar</t>
  </si>
  <si>
    <t xml:space="preserve">Sprints</t>
  </si>
  <si>
    <t xml:space="preserve">Los puntos y el avance se calculan desde el Product Backlog. Review y Retrospectiva se llenan al cerrar cada sprint.</t>
  </si>
  <si>
    <t xml:space="preserve">Objetivo (Sprint Goal)</t>
  </si>
  <si>
    <t xml:space="preserve">Inicio</t>
  </si>
  <si>
    <t xml:space="preserve">Fin</t>
  </si>
  <si>
    <t xml:space="preserve">Incremento entregable</t>
  </si>
  <si>
    <t xml:space="preserve">Historias</t>
  </si>
  <si>
    <t xml:space="preserve">Puntos planificados</t>
  </si>
  <si>
    <t xml:space="preserve">Puntos completados</t>
  </si>
  <si>
    <t xml:space="preserve">Avance</t>
  </si>
  <si>
    <t xml:space="preserve">Sprint Review</t>
  </si>
  <si>
    <t xml:space="preserve">Retrospectiva</t>
  </si>
  <si>
    <t xml:space="preserve">Base de datos y entorno</t>
  </si>
  <si>
    <t xml:space="preserve">Entorno instalado, modelo ER, script SQL de creación y semillas</t>
  </si>
  <si>
    <t xml:space="preserve">Incremento: modelo ER (12 tablas, 3 BD), scripts SQL con restricciones nombradas, datos semilla (≥5 por tabla) y setup-db.ps1. 106/106 pruebas PASS. La base ya soporta autenticación y autorización; la auditoría queda pendiente para el Sprint 2. HU-05 pasa al Sprint 1 (faltan carpetas backend/ y frontend/). Resumen completo en docs/sprints/sprint-0.md.</t>
  </si>
  <si>
    <t xml:space="preserve">Salió bien: crear las bases de datos y encontrar las relaciones entre las tablas.
Costó: recordar el modelo entidad-relación y saber dónde va la FK.
Acción de mejora: probar en Apidog cada endpoint apenas esté listo, no al final del sprint.</t>
  </si>
  <si>
    <t xml:space="preserve">Microservicios Partidos y Usuarios/Auth</t>
  </si>
  <si>
    <t xml:space="preserve">Partidos y Auth funcionando con Swagger, JWT y roles</t>
  </si>
  <si>
    <t xml:space="preserve">Incremento: match-service (estadios, secciones con filas y asientos, partidos con máquina de estados, catálogo con filtros) y auth-service (registro con credenciales por correo, login JWT con bloqueo, administración de usuarios y roles), ambos con Swagger. 31/31 puntos. 8 bugs encontrados y corregidos con pruebas (valores límite, transición de estados, seguridad). Riesgo abierto: match-service aún no valida el JWT. Resumen completo en docs/sprints/sprint-1.md.</t>
  </si>
  <si>
    <t xml:space="preserve">Salió bien: se completaron las 10 historias y los dos microservicios funcionan.
Costó: surgieron dudas con conceptos nuevos (Java, JPA, JWT) y con Git (rama equivocada).
Acción de mejora: hacer las cosas más rápido: revisar la rama antes de empezar, cerrar cada HU con su PR y probar cada endpoint apenas esté listo.</t>
  </si>
  <si>
    <t xml:space="preserve">Microservicio Reservas</t>
  </si>
  <si>
    <t xml:space="preserve">Reservas con regla de 6, expiración, QR y reportes PDF</t>
  </si>
  <si>
    <t xml:space="preserve">Aplicación web completa para Cliente y Administrador</t>
  </si>
  <si>
    <t xml:space="preserve">Cierre y entrega</t>
  </si>
  <si>
    <t xml:space="preserve">Pruebas E2E, README, .env, diagramas, ensayo y entrega</t>
  </si>
  <si>
    <t xml:space="preserve">Total</t>
  </si>
  <si>
    <t xml:space="preserve">Rúbrica de evaluación (del enunciado)</t>
  </si>
  <si>
    <t xml:space="preserve">Fuente: documento 'Complexivo práctico' entregado por la usuaria. Nota final = (Servicios + Arquitectura) / 2.</t>
  </si>
  <si>
    <t xml:space="preserve">Bloque</t>
  </si>
  <si>
    <t xml:space="preserve">Concepto</t>
  </si>
  <si>
    <t xml:space="preserve">Puntaje</t>
  </si>
  <si>
    <t xml:space="preserve">Historias que lo cubren</t>
  </si>
  <si>
    <t xml:space="preserve">Servicios</t>
  </si>
  <si>
    <t xml:space="preserve">Modelo ER, Scripts SQL</t>
  </si>
  <si>
    <t xml:space="preserve">HU-02, HU-03, HU-04</t>
  </si>
  <si>
    <t xml:space="preserve">Acceso a la aplicación web</t>
  </si>
  <si>
    <t xml:space="preserve">HU-23, HU-29</t>
  </si>
  <si>
    <t xml:space="preserve">Consulta de partidos, horarios, secciones, asientos</t>
  </si>
  <si>
    <t xml:space="preserve">HU-09, HU-24</t>
  </si>
  <si>
    <t xml:space="preserve">Realizar reserva</t>
  </si>
  <si>
    <t xml:space="preserve">HU-15, HU-19, HU-26</t>
  </si>
  <si>
    <t xml:space="preserve">Código QR</t>
  </si>
  <si>
    <t xml:space="preserve">HU-18, HU-27</t>
  </si>
  <si>
    <t xml:space="preserve">Usabilidad y experiencia de usuario</t>
  </si>
  <si>
    <t xml:space="preserve">Arquitectura</t>
  </si>
  <si>
    <t xml:space="preserve">Microservicio de autenticación e inicio de sesión</t>
  </si>
  <si>
    <t xml:space="preserve">HU-10 a HU-13</t>
  </si>
  <si>
    <t xml:space="preserve">Microservicio de reservas</t>
  </si>
  <si>
    <t xml:space="preserve">HU-16, HU-17</t>
  </si>
  <si>
    <t xml:space="preserve">Microservicio de partidos</t>
  </si>
  <si>
    <t xml:space="preserve">HU-06, HU-07, HU-08</t>
  </si>
  <si>
    <t xml:space="preserve">Consumo de los microservicios desde la interfaz (API REST)</t>
  </si>
  <si>
    <t xml:space="preserve">HU-28, HU-22</t>
  </si>
  <si>
    <t xml:space="preserve">Total Servicios</t>
  </si>
  <si>
    <t xml:space="preserve">Total Arquitectura</t>
  </si>
  <si>
    <t xml:space="preserve">Nota máxima final</t>
  </si>
  <si>
    <t xml:space="preserve">Burndown del proyecto</t>
  </si>
  <si>
    <t xml:space="preserve">Real = puntos totales − puntos de historias 'Hecho' con fecha completada hasta ese día.</t>
  </si>
  <si>
    <t xml:space="preserve">Fecha</t>
  </si>
  <si>
    <t xml:space="preserve">Ideal</t>
  </si>
  <si>
    <t xml:space="preserve">Real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</si>
</sst>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0%"/>
    <numFmt numFmtId="168" formatCode="dd/mm"/>
    <numFmt numFmtId="169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(story points restantes)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Burndown!B4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Burndown!$A$5:$A$14</c:f>
              <c:strCache>
                <c:ptCount val="10"/>
                <c:pt idx="0">
                  <c:v>17/10</c:v>
                </c:pt>
                <c:pt idx="1">
                  <c:v>18/10</c:v>
                </c:pt>
                <c:pt idx="2">
                  <c:v>19/10</c:v>
                </c:pt>
                <c:pt idx="3">
                  <c:v>20/10</c:v>
                </c:pt>
                <c:pt idx="4">
                  <c:v>21/10</c:v>
                </c:pt>
                <c:pt idx="5">
                  <c:v>22/10</c:v>
                </c:pt>
                <c:pt idx="6">
                  <c:v>23/10</c:v>
                </c:pt>
                <c:pt idx="7">
                  <c:v>24/10</c:v>
                </c:pt>
                <c:pt idx="8">
                  <c:v>25/10</c:v>
                </c:pt>
                <c:pt idx="9">
                  <c:v>26/10</c:v>
                </c:pt>
              </c:strCache>
            </c:strRef>
          </c:cat>
          <c:val>
            <c:numRef>
              <c:f>Burndown!$B$5:$B$14</c:f>
              <c:numCache>
                <c:formatCode>0.0</c:formatCode>
                <c:ptCount val="10"/>
                <c:pt idx="0">
                  <c:v>123</c:v>
                </c:pt>
                <c:pt idx="1">
                  <c:v>109.333333333333</c:v>
                </c:pt>
                <c:pt idx="2">
                  <c:v>95.6666666666667</c:v>
                </c:pt>
                <c:pt idx="3">
                  <c:v>82</c:v>
                </c:pt>
                <c:pt idx="4">
                  <c:v>68.3333333333333</c:v>
                </c:pt>
                <c:pt idx="5">
                  <c:v>54.6666666666667</c:v>
                </c:pt>
                <c:pt idx="6">
                  <c:v>41</c:v>
                </c:pt>
                <c:pt idx="7">
                  <c:v>27.3333333333333</c:v>
                </c:pt>
                <c:pt idx="8">
                  <c:v>13.6666666666667</c:v>
                </c:pt>
                <c:pt idx="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Burndown!C4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Burndown!$A$5:$A$14</c:f>
              <c:strCache>
                <c:ptCount val="10"/>
                <c:pt idx="0">
                  <c:v>17/10</c:v>
                </c:pt>
                <c:pt idx="1">
                  <c:v>18/10</c:v>
                </c:pt>
                <c:pt idx="2">
                  <c:v>19/10</c:v>
                </c:pt>
                <c:pt idx="3">
                  <c:v>20/10</c:v>
                </c:pt>
                <c:pt idx="4">
                  <c:v>21/10</c:v>
                </c:pt>
                <c:pt idx="5">
                  <c:v>22/10</c:v>
                </c:pt>
                <c:pt idx="6">
                  <c:v>23/10</c:v>
                </c:pt>
                <c:pt idx="7">
                  <c:v>24/10</c:v>
                </c:pt>
                <c:pt idx="8">
                  <c:v>25/10</c:v>
                </c:pt>
                <c:pt idx="9">
                  <c:v>26/10</c:v>
                </c:pt>
              </c:strCache>
            </c:strRef>
          </c:cat>
          <c:val>
            <c:numRef>
              <c:f>Burndown!$C$5:$C$14</c:f>
              <c:numCache>
                <c:formatCode>General</c:formatCode>
                <c:ptCount val="10"/>
                <c:pt idx="0">
                  <c:v>110</c:v>
                </c:pt>
                <c:pt idx="1">
                  <c:v>101</c:v>
                </c:pt>
                <c:pt idx="2">
                  <c:v>95</c:v>
                </c:pt>
                <c:pt idx="3">
                  <c:v>79</c:v>
                </c:pt>
                <c:pt idx="4">
                  <c:v>79</c:v>
                </c:pt>
                <c:pt idx="5">
                  <c:v>79</c:v>
                </c:pt>
                <c:pt idx="6">
                  <c:v>79</c:v>
                </c:pt>
                <c:pt idx="7">
                  <c:v>79</c:v>
                </c:pt>
                <c:pt idx="8">
                  <c:v>79</c:v>
                </c:pt>
                <c:pt idx="9">
                  <c:v>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782507"/>
        <c:axId val="86819995"/>
      </c:lineChart>
      <c:catAx>
        <c:axId val="687825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19995"/>
        <c:crosses val="autoZero"/>
        <c:auto val="1"/>
        <c:lblAlgn val="ctr"/>
        <c:lblOffset val="100"/>
        <c:noMultiLvlLbl val="0"/>
      </c:catAx>
      <c:valAx>
        <c:axId val="868199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825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14</xdr:col>
      <xdr:colOff>364680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286704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46312</v>
      </c>
    </row>
    <row r="5" customFormat="false" ht="15" hidden="false" customHeight="false" outlineLevel="0" collapsed="false">
      <c r="A5" s="3" t="s">
        <v>3</v>
      </c>
      <c r="B5" s="4" t="n">
        <v>46321</v>
      </c>
    </row>
    <row r="6" customFormat="false" ht="15" hidden="false" customHeight="false" outlineLevel="0" collapsed="false">
      <c r="A6" s="3" t="s">
        <v>4</v>
      </c>
      <c r="B6" s="5" t="n">
        <f aca="false">COUNTA('Product Backlog'!A5:A39)</f>
        <v>35</v>
      </c>
    </row>
    <row r="7" customFormat="false" ht="15" hidden="false" customHeight="false" outlineLevel="0" collapsed="false">
      <c r="A7" s="3" t="s">
        <v>5</v>
      </c>
      <c r="B7" s="5" t="n">
        <f aca="false">SUM('Product Backlog'!F5:F39)</f>
        <v>123</v>
      </c>
    </row>
    <row r="8" customFormat="false" ht="15" hidden="false" customHeight="false" outlineLevel="0" collapsed="false">
      <c r="A8" s="3" t="s">
        <v>6</v>
      </c>
      <c r="B8" s="5" t="n">
        <f aca="false">SUMIFS('Product Backlog'!F5:F39,'Product Backlog'!H5:H39,"Hecho")</f>
        <v>44</v>
      </c>
    </row>
    <row r="9" customFormat="false" ht="15" hidden="false" customHeight="false" outlineLevel="0" collapsed="false">
      <c r="A9" s="3" t="s">
        <v>7</v>
      </c>
      <c r="B9" s="6" t="n">
        <f aca="false">IF(B7=0,0,B8/B7)</f>
        <v>0.357723577235772</v>
      </c>
    </row>
    <row r="10" customFormat="false" ht="15" hidden="false" customHeight="false" outlineLevel="0" collapsed="false">
      <c r="A10" s="3" t="s">
        <v>8</v>
      </c>
      <c r="B10" s="5" t="n">
        <f aca="false">COUNTIF('Product Backlog'!H5:H39,"Hecho")</f>
        <v>14</v>
      </c>
    </row>
    <row r="12" customFormat="false" ht="15" hidden="false" customHeight="false" outlineLevel="0" collapsed="false">
      <c r="A12" s="7" t="s">
        <v>9</v>
      </c>
    </row>
    <row r="13" customFormat="false" ht="15" hidden="false" customHeight="false" outlineLevel="0" collapsed="false">
      <c r="A13" s="8" t="s">
        <v>10</v>
      </c>
    </row>
    <row r="14" customFormat="false" ht="15" hidden="false" customHeight="false" outlineLevel="0" collapsed="false">
      <c r="A14" s="8" t="s">
        <v>11</v>
      </c>
    </row>
    <row r="15" customFormat="false" ht="15" hidden="false" customHeight="false" outlineLevel="0" collapsed="false">
      <c r="A15" s="8" t="s">
        <v>12</v>
      </c>
    </row>
    <row r="16" customFormat="false" ht="15" hidden="false" customHeight="false" outlineLevel="0" collapsed="false">
      <c r="A16" s="8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30"/>
    <col collapsed="false" customWidth="true" hidden="false" outlineLevel="0" max="11" min="11" style="0" width="55"/>
    <col collapsed="false" customWidth="true" hidden="false" outlineLevel="0" max="12" min="12" style="0" width="28"/>
    <col collapsed="false" customWidth="true" hidden="false" outlineLevel="0" max="13" min="13" style="0" width="45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39.55" hidden="false" customHeight="false" outlineLevel="0" collapsed="false">
      <c r="A4" s="9" t="s">
        <v>16</v>
      </c>
      <c r="B4" s="9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</row>
    <row r="5" customFormat="false" ht="39.55" hidden="false" customHeight="false" outlineLevel="0" collapsed="false">
      <c r="A5" s="10" t="s">
        <v>29</v>
      </c>
      <c r="B5" s="5" t="s">
        <v>30</v>
      </c>
      <c r="C5" s="11" t="s">
        <v>31</v>
      </c>
      <c r="D5" s="5" t="s">
        <v>32</v>
      </c>
      <c r="E5" s="11" t="s">
        <v>33</v>
      </c>
      <c r="F5" s="12" t="n">
        <v>2</v>
      </c>
      <c r="G5" s="11" t="s">
        <v>34</v>
      </c>
      <c r="H5" s="13" t="s">
        <v>35</v>
      </c>
      <c r="I5" s="14" t="n">
        <v>46312</v>
      </c>
      <c r="J5" s="5" t="s">
        <v>36</v>
      </c>
      <c r="K5" s="5" t="s">
        <v>37</v>
      </c>
      <c r="L5" s="15" t="s">
        <v>36</v>
      </c>
      <c r="M5" s="15" t="s">
        <v>38</v>
      </c>
    </row>
    <row r="6" customFormat="false" ht="39.55" hidden="false" customHeight="false" outlineLevel="0" collapsed="false">
      <c r="A6" s="10" t="s">
        <v>39</v>
      </c>
      <c r="B6" s="5" t="s">
        <v>40</v>
      </c>
      <c r="C6" s="11" t="s">
        <v>31</v>
      </c>
      <c r="D6" s="5" t="s">
        <v>41</v>
      </c>
      <c r="E6" s="11" t="s">
        <v>33</v>
      </c>
      <c r="F6" s="12" t="n">
        <v>5</v>
      </c>
      <c r="G6" s="11" t="s">
        <v>34</v>
      </c>
      <c r="H6" s="13" t="s">
        <v>35</v>
      </c>
      <c r="I6" s="14" t="n">
        <v>46312</v>
      </c>
      <c r="J6" s="5" t="s">
        <v>42</v>
      </c>
      <c r="K6" s="5" t="s">
        <v>43</v>
      </c>
      <c r="L6" s="15" t="s">
        <v>44</v>
      </c>
      <c r="M6" s="15" t="s">
        <v>45</v>
      </c>
    </row>
    <row r="7" customFormat="false" ht="39.55" hidden="false" customHeight="false" outlineLevel="0" collapsed="false">
      <c r="A7" s="10" t="s">
        <v>46</v>
      </c>
      <c r="B7" s="5" t="s">
        <v>47</v>
      </c>
      <c r="C7" s="11" t="s">
        <v>31</v>
      </c>
      <c r="D7" s="5" t="s">
        <v>41</v>
      </c>
      <c r="E7" s="11" t="s">
        <v>33</v>
      </c>
      <c r="F7" s="12" t="n">
        <v>3</v>
      </c>
      <c r="G7" s="11" t="s">
        <v>34</v>
      </c>
      <c r="H7" s="13" t="s">
        <v>35</v>
      </c>
      <c r="I7" s="14" t="n">
        <v>46312</v>
      </c>
      <c r="J7" s="5" t="s">
        <v>42</v>
      </c>
      <c r="K7" s="5" t="s">
        <v>48</v>
      </c>
      <c r="L7" s="15" t="s">
        <v>49</v>
      </c>
      <c r="M7" s="15" t="s">
        <v>50</v>
      </c>
    </row>
    <row r="8" customFormat="false" ht="52.2" hidden="false" customHeight="false" outlineLevel="0" collapsed="false">
      <c r="A8" s="10" t="s">
        <v>51</v>
      </c>
      <c r="B8" s="5" t="s">
        <v>52</v>
      </c>
      <c r="C8" s="11" t="s">
        <v>31</v>
      </c>
      <c r="D8" s="5" t="s">
        <v>41</v>
      </c>
      <c r="E8" s="11" t="s">
        <v>33</v>
      </c>
      <c r="F8" s="12" t="n">
        <v>3</v>
      </c>
      <c r="G8" s="11" t="s">
        <v>34</v>
      </c>
      <c r="H8" s="13" t="s">
        <v>35</v>
      </c>
      <c r="I8" s="14" t="n">
        <v>46312</v>
      </c>
      <c r="J8" s="5" t="s">
        <v>42</v>
      </c>
      <c r="K8" s="5" t="s">
        <v>53</v>
      </c>
      <c r="L8" s="15" t="s">
        <v>54</v>
      </c>
      <c r="M8" s="15" t="s">
        <v>55</v>
      </c>
    </row>
    <row r="9" customFormat="false" ht="64.9" hidden="false" customHeight="false" outlineLevel="0" collapsed="false">
      <c r="A9" s="10" t="s">
        <v>56</v>
      </c>
      <c r="B9" s="5" t="s">
        <v>57</v>
      </c>
      <c r="C9" s="11" t="s">
        <v>31</v>
      </c>
      <c r="D9" s="5" t="s">
        <v>58</v>
      </c>
      <c r="E9" s="11" t="s">
        <v>33</v>
      </c>
      <c r="F9" s="12" t="n">
        <v>1</v>
      </c>
      <c r="G9" s="11" t="s">
        <v>59</v>
      </c>
      <c r="H9" s="13" t="s">
        <v>35</v>
      </c>
      <c r="I9" s="14" t="n">
        <v>46313</v>
      </c>
      <c r="J9" s="5" t="s">
        <v>60</v>
      </c>
      <c r="K9" s="5" t="s">
        <v>61</v>
      </c>
      <c r="L9" s="15" t="s">
        <v>62</v>
      </c>
      <c r="M9" s="15" t="s">
        <v>63</v>
      </c>
    </row>
    <row r="10" customFormat="false" ht="115.65" hidden="false" customHeight="false" outlineLevel="0" collapsed="false">
      <c r="A10" s="10" t="s">
        <v>64</v>
      </c>
      <c r="B10" s="5" t="s">
        <v>65</v>
      </c>
      <c r="C10" s="11" t="s">
        <v>66</v>
      </c>
      <c r="D10" s="5" t="s">
        <v>67</v>
      </c>
      <c r="E10" s="11" t="s">
        <v>33</v>
      </c>
      <c r="F10" s="12" t="n">
        <v>3</v>
      </c>
      <c r="G10" s="11" t="s">
        <v>59</v>
      </c>
      <c r="H10" s="13" t="s">
        <v>35</v>
      </c>
      <c r="I10" s="14" t="n">
        <v>46313</v>
      </c>
      <c r="J10" s="5" t="s">
        <v>68</v>
      </c>
      <c r="K10" s="5" t="s">
        <v>69</v>
      </c>
      <c r="L10" s="15" t="s">
        <v>70</v>
      </c>
      <c r="M10" s="15" t="s">
        <v>71</v>
      </c>
    </row>
    <row r="11" customFormat="false" ht="115.65" hidden="false" customHeight="false" outlineLevel="0" collapsed="false">
      <c r="A11" s="10" t="s">
        <v>72</v>
      </c>
      <c r="B11" s="5" t="s">
        <v>73</v>
      </c>
      <c r="C11" s="11" t="s">
        <v>66</v>
      </c>
      <c r="D11" s="5" t="s">
        <v>67</v>
      </c>
      <c r="E11" s="11" t="s">
        <v>33</v>
      </c>
      <c r="F11" s="12" t="n">
        <v>5</v>
      </c>
      <c r="G11" s="11" t="s">
        <v>59</v>
      </c>
      <c r="H11" s="13" t="s">
        <v>35</v>
      </c>
      <c r="I11" s="14" t="n">
        <v>46313</v>
      </c>
      <c r="J11" s="5" t="s">
        <v>68</v>
      </c>
      <c r="K11" s="5" t="s">
        <v>74</v>
      </c>
      <c r="L11" s="15" t="s">
        <v>75</v>
      </c>
      <c r="M11" s="15" t="s">
        <v>76</v>
      </c>
    </row>
    <row r="12" customFormat="false" ht="141" hidden="false" customHeight="false" outlineLevel="0" collapsed="false">
      <c r="A12" s="10" t="s">
        <v>77</v>
      </c>
      <c r="B12" s="5" t="s">
        <v>78</v>
      </c>
      <c r="C12" s="11" t="s">
        <v>66</v>
      </c>
      <c r="D12" s="5" t="s">
        <v>67</v>
      </c>
      <c r="E12" s="11" t="s">
        <v>33</v>
      </c>
      <c r="F12" s="12" t="n">
        <v>3</v>
      </c>
      <c r="G12" s="11" t="s">
        <v>59</v>
      </c>
      <c r="H12" s="13" t="s">
        <v>35</v>
      </c>
      <c r="I12" s="14" t="n">
        <v>46314</v>
      </c>
      <c r="J12" s="5" t="s">
        <v>68</v>
      </c>
      <c r="K12" s="5" t="s">
        <v>79</v>
      </c>
      <c r="L12" s="15" t="s">
        <v>80</v>
      </c>
      <c r="M12" s="15" t="s">
        <v>81</v>
      </c>
    </row>
    <row r="13" customFormat="false" ht="102.95" hidden="false" customHeight="false" outlineLevel="0" collapsed="false">
      <c r="A13" s="10" t="s">
        <v>82</v>
      </c>
      <c r="B13" s="5" t="s">
        <v>83</v>
      </c>
      <c r="C13" s="11" t="s">
        <v>66</v>
      </c>
      <c r="D13" s="5" t="s">
        <v>67</v>
      </c>
      <c r="E13" s="11" t="s">
        <v>33</v>
      </c>
      <c r="F13" s="12" t="n">
        <v>3</v>
      </c>
      <c r="G13" s="11" t="s">
        <v>59</v>
      </c>
      <c r="H13" s="13" t="s">
        <v>35</v>
      </c>
      <c r="I13" s="14" t="n">
        <v>46314</v>
      </c>
      <c r="J13" s="5" t="s">
        <v>84</v>
      </c>
      <c r="K13" s="5" t="s">
        <v>85</v>
      </c>
      <c r="L13" s="15" t="s">
        <v>86</v>
      </c>
      <c r="M13" s="15" t="s">
        <v>87</v>
      </c>
    </row>
    <row r="14" customFormat="false" ht="90.25" hidden="false" customHeight="false" outlineLevel="0" collapsed="false">
      <c r="A14" s="10" t="s">
        <v>88</v>
      </c>
      <c r="B14" s="5" t="s">
        <v>89</v>
      </c>
      <c r="C14" s="11" t="s">
        <v>66</v>
      </c>
      <c r="D14" s="5" t="s">
        <v>90</v>
      </c>
      <c r="E14" s="11" t="s">
        <v>33</v>
      </c>
      <c r="F14" s="12" t="n">
        <v>5</v>
      </c>
      <c r="G14" s="11" t="s">
        <v>59</v>
      </c>
      <c r="H14" s="13" t="s">
        <v>35</v>
      </c>
      <c r="I14" s="14" t="n">
        <v>46315</v>
      </c>
      <c r="J14" s="5" t="s">
        <v>91</v>
      </c>
      <c r="K14" s="5" t="s">
        <v>92</v>
      </c>
      <c r="L14" s="15" t="s">
        <v>93</v>
      </c>
      <c r="M14" s="15" t="s">
        <v>94</v>
      </c>
    </row>
    <row r="15" customFormat="false" ht="90.25" hidden="false" customHeight="false" outlineLevel="0" collapsed="false">
      <c r="A15" s="10" t="s">
        <v>95</v>
      </c>
      <c r="B15" s="5" t="s">
        <v>96</v>
      </c>
      <c r="C15" s="11" t="s">
        <v>66</v>
      </c>
      <c r="D15" s="5" t="s">
        <v>90</v>
      </c>
      <c r="E15" s="11" t="s">
        <v>33</v>
      </c>
      <c r="F15" s="12" t="n">
        <v>5</v>
      </c>
      <c r="G15" s="11" t="s">
        <v>59</v>
      </c>
      <c r="H15" s="13" t="s">
        <v>35</v>
      </c>
      <c r="I15" s="14" t="n">
        <v>46315</v>
      </c>
      <c r="J15" s="5" t="s">
        <v>91</v>
      </c>
      <c r="K15" s="5" t="s">
        <v>97</v>
      </c>
      <c r="L15" s="15" t="s">
        <v>93</v>
      </c>
      <c r="M15" s="15" t="s">
        <v>98</v>
      </c>
    </row>
    <row r="16" customFormat="false" ht="64.9" hidden="false" customHeight="false" outlineLevel="0" collapsed="false">
      <c r="A16" s="10" t="s">
        <v>99</v>
      </c>
      <c r="B16" s="5" t="s">
        <v>100</v>
      </c>
      <c r="C16" s="11" t="s">
        <v>66</v>
      </c>
      <c r="D16" s="5" t="s">
        <v>90</v>
      </c>
      <c r="E16" s="11" t="s">
        <v>33</v>
      </c>
      <c r="F16" s="12" t="n">
        <v>3</v>
      </c>
      <c r="G16" s="11" t="s">
        <v>59</v>
      </c>
      <c r="H16" s="13" t="s">
        <v>35</v>
      </c>
      <c r="I16" s="14" t="n">
        <v>46315</v>
      </c>
      <c r="J16" s="5" t="s">
        <v>91</v>
      </c>
      <c r="K16" s="5" t="s">
        <v>101</v>
      </c>
      <c r="L16" s="15" t="s">
        <v>93</v>
      </c>
      <c r="M16" s="15" t="s">
        <v>102</v>
      </c>
    </row>
    <row r="17" customFormat="false" ht="39.55" hidden="false" customHeight="false" outlineLevel="0" collapsed="false">
      <c r="A17" s="10" t="s">
        <v>103</v>
      </c>
      <c r="B17" s="5" t="s">
        <v>104</v>
      </c>
      <c r="C17" s="11" t="s">
        <v>31</v>
      </c>
      <c r="D17" s="5" t="s">
        <v>90</v>
      </c>
      <c r="E17" s="11" t="s">
        <v>33</v>
      </c>
      <c r="F17" s="12" t="n">
        <v>2</v>
      </c>
      <c r="G17" s="11" t="s">
        <v>59</v>
      </c>
      <c r="H17" s="13" t="s">
        <v>35</v>
      </c>
      <c r="I17" s="14" t="n">
        <v>46315</v>
      </c>
      <c r="J17" s="5" t="s">
        <v>91</v>
      </c>
      <c r="K17" s="5" t="s">
        <v>105</v>
      </c>
      <c r="L17" s="15" t="s">
        <v>93</v>
      </c>
      <c r="M17" s="15" t="s">
        <v>106</v>
      </c>
    </row>
    <row r="18" customFormat="false" ht="52.2" hidden="false" customHeight="false" outlineLevel="0" collapsed="false">
      <c r="A18" s="10" t="s">
        <v>107</v>
      </c>
      <c r="B18" s="5" t="s">
        <v>108</v>
      </c>
      <c r="C18" s="11" t="s">
        <v>31</v>
      </c>
      <c r="D18" s="5" t="s">
        <v>109</v>
      </c>
      <c r="E18" s="11" t="s">
        <v>33</v>
      </c>
      <c r="F18" s="12" t="n">
        <v>1</v>
      </c>
      <c r="G18" s="11" t="s">
        <v>59</v>
      </c>
      <c r="H18" s="13" t="s">
        <v>35</v>
      </c>
      <c r="I18" s="14" t="n">
        <v>46315</v>
      </c>
      <c r="J18" s="5" t="s">
        <v>110</v>
      </c>
      <c r="K18" s="5" t="s">
        <v>111</v>
      </c>
      <c r="L18" s="15" t="s">
        <v>93</v>
      </c>
      <c r="M18" s="15" t="s">
        <v>112</v>
      </c>
    </row>
    <row r="19" customFormat="false" ht="115.65" hidden="false" customHeight="false" outlineLevel="0" collapsed="false">
      <c r="A19" s="10" t="s">
        <v>113</v>
      </c>
      <c r="B19" s="5" t="s">
        <v>114</v>
      </c>
      <c r="C19" s="11" t="s">
        <v>66</v>
      </c>
      <c r="D19" s="5" t="s">
        <v>115</v>
      </c>
      <c r="E19" s="11" t="s">
        <v>33</v>
      </c>
      <c r="F19" s="12" t="n">
        <v>3</v>
      </c>
      <c r="G19" s="11" t="s">
        <v>116</v>
      </c>
      <c r="H19" s="13" t="s">
        <v>117</v>
      </c>
      <c r="I19" s="14"/>
      <c r="J19" s="5" t="s">
        <v>118</v>
      </c>
      <c r="K19" s="5" t="s">
        <v>119</v>
      </c>
      <c r="L19" s="15" t="s">
        <v>120</v>
      </c>
      <c r="M19" s="15" t="s">
        <v>121</v>
      </c>
    </row>
    <row r="20" customFormat="false" ht="153.7" hidden="false" customHeight="false" outlineLevel="0" collapsed="false">
      <c r="A20" s="10" t="s">
        <v>122</v>
      </c>
      <c r="B20" s="5" t="s">
        <v>123</v>
      </c>
      <c r="C20" s="11" t="s">
        <v>66</v>
      </c>
      <c r="D20" s="5" t="s">
        <v>115</v>
      </c>
      <c r="E20" s="11" t="s">
        <v>33</v>
      </c>
      <c r="F20" s="12" t="n">
        <v>8</v>
      </c>
      <c r="G20" s="11" t="s">
        <v>116</v>
      </c>
      <c r="H20" s="13" t="s">
        <v>117</v>
      </c>
      <c r="I20" s="14"/>
      <c r="J20" s="5" t="s">
        <v>124</v>
      </c>
      <c r="K20" s="5" t="s">
        <v>125</v>
      </c>
      <c r="L20" s="15" t="s">
        <v>120</v>
      </c>
      <c r="M20" s="15" t="s">
        <v>126</v>
      </c>
    </row>
    <row r="21" customFormat="false" ht="26.85" hidden="false" customHeight="false" outlineLevel="0" collapsed="false">
      <c r="A21" s="10" t="s">
        <v>127</v>
      </c>
      <c r="B21" s="5" t="s">
        <v>128</v>
      </c>
      <c r="C21" s="11" t="s">
        <v>66</v>
      </c>
      <c r="D21" s="5" t="s">
        <v>115</v>
      </c>
      <c r="E21" s="11" t="s">
        <v>33</v>
      </c>
      <c r="F21" s="12" t="n">
        <v>5</v>
      </c>
      <c r="G21" s="11" t="s">
        <v>116</v>
      </c>
      <c r="H21" s="13" t="s">
        <v>129</v>
      </c>
      <c r="I21" s="14"/>
      <c r="J21" s="5" t="s">
        <v>124</v>
      </c>
      <c r="K21" s="5" t="s">
        <v>130</v>
      </c>
      <c r="L21" s="15"/>
      <c r="M21" s="15"/>
    </row>
    <row r="22" customFormat="false" ht="26.85" hidden="false" customHeight="false" outlineLevel="0" collapsed="false">
      <c r="A22" s="10" t="s">
        <v>131</v>
      </c>
      <c r="B22" s="5" t="s">
        <v>132</v>
      </c>
      <c r="C22" s="11" t="s">
        <v>66</v>
      </c>
      <c r="D22" s="5" t="s">
        <v>115</v>
      </c>
      <c r="E22" s="11" t="s">
        <v>33</v>
      </c>
      <c r="F22" s="12" t="n">
        <v>5</v>
      </c>
      <c r="G22" s="11" t="s">
        <v>116</v>
      </c>
      <c r="H22" s="13" t="s">
        <v>129</v>
      </c>
      <c r="I22" s="14"/>
      <c r="J22" s="5" t="s">
        <v>133</v>
      </c>
      <c r="K22" s="5" t="s">
        <v>134</v>
      </c>
      <c r="L22" s="15"/>
      <c r="M22" s="15"/>
    </row>
    <row r="23" customFormat="false" ht="26.85" hidden="false" customHeight="false" outlineLevel="0" collapsed="false">
      <c r="A23" s="10" t="s">
        <v>135</v>
      </c>
      <c r="B23" s="5" t="s">
        <v>136</v>
      </c>
      <c r="C23" s="11" t="s">
        <v>66</v>
      </c>
      <c r="D23" s="5" t="s">
        <v>115</v>
      </c>
      <c r="E23" s="11" t="s">
        <v>33</v>
      </c>
      <c r="F23" s="12" t="n">
        <v>3</v>
      </c>
      <c r="G23" s="11" t="s">
        <v>116</v>
      </c>
      <c r="H23" s="13" t="s">
        <v>129</v>
      </c>
      <c r="I23" s="14"/>
      <c r="J23" s="5" t="s">
        <v>118</v>
      </c>
      <c r="K23" s="5" t="s">
        <v>137</v>
      </c>
      <c r="L23" s="15"/>
      <c r="M23" s="15"/>
    </row>
    <row r="24" customFormat="false" ht="26.85" hidden="false" customHeight="false" outlineLevel="0" collapsed="false">
      <c r="A24" s="10" t="s">
        <v>138</v>
      </c>
      <c r="B24" s="5" t="s">
        <v>139</v>
      </c>
      <c r="C24" s="11" t="s">
        <v>66</v>
      </c>
      <c r="D24" s="5" t="s">
        <v>115</v>
      </c>
      <c r="E24" s="11" t="s">
        <v>33</v>
      </c>
      <c r="F24" s="12" t="n">
        <v>5</v>
      </c>
      <c r="G24" s="11" t="s">
        <v>116</v>
      </c>
      <c r="H24" s="13" t="s">
        <v>129</v>
      </c>
      <c r="I24" s="14"/>
      <c r="J24" s="5" t="s">
        <v>140</v>
      </c>
      <c r="K24" s="5" t="s">
        <v>141</v>
      </c>
      <c r="L24" s="15"/>
      <c r="M24" s="15"/>
    </row>
    <row r="25" customFormat="false" ht="39.55" hidden="false" customHeight="false" outlineLevel="0" collapsed="false">
      <c r="A25" s="10" t="s">
        <v>142</v>
      </c>
      <c r="B25" s="5" t="s">
        <v>143</v>
      </c>
      <c r="C25" s="11" t="s">
        <v>66</v>
      </c>
      <c r="D25" s="5" t="s">
        <v>115</v>
      </c>
      <c r="E25" s="11" t="s">
        <v>33</v>
      </c>
      <c r="F25" s="12" t="n">
        <v>5</v>
      </c>
      <c r="G25" s="11" t="s">
        <v>116</v>
      </c>
      <c r="H25" s="13" t="s">
        <v>129</v>
      </c>
      <c r="I25" s="14"/>
      <c r="J25" s="5" t="s">
        <v>140</v>
      </c>
      <c r="K25" s="5" t="s">
        <v>144</v>
      </c>
      <c r="L25" s="15"/>
      <c r="M25" s="15"/>
    </row>
    <row r="26" customFormat="false" ht="128.35" hidden="false" customHeight="false" outlineLevel="0" collapsed="false">
      <c r="A26" s="10" t="s">
        <v>145</v>
      </c>
      <c r="B26" s="5" t="s">
        <v>146</v>
      </c>
      <c r="C26" s="11" t="s">
        <v>31</v>
      </c>
      <c r="D26" s="5" t="s">
        <v>147</v>
      </c>
      <c r="E26" s="11" t="s">
        <v>33</v>
      </c>
      <c r="F26" s="12" t="n">
        <v>3</v>
      </c>
      <c r="G26" s="11" t="s">
        <v>116</v>
      </c>
      <c r="H26" s="13" t="s">
        <v>117</v>
      </c>
      <c r="I26" s="14"/>
      <c r="J26" s="5" t="s">
        <v>148</v>
      </c>
      <c r="K26" s="5" t="s">
        <v>149</v>
      </c>
      <c r="L26" s="15" t="s">
        <v>120</v>
      </c>
      <c r="M26" s="15" t="s">
        <v>150</v>
      </c>
    </row>
    <row r="27" customFormat="false" ht="26.85" hidden="false" customHeight="false" outlineLevel="0" collapsed="false">
      <c r="A27" s="10" t="s">
        <v>151</v>
      </c>
      <c r="B27" s="5" t="s">
        <v>152</v>
      </c>
      <c r="C27" s="11" t="s">
        <v>66</v>
      </c>
      <c r="D27" s="5" t="s">
        <v>153</v>
      </c>
      <c r="E27" s="11" t="s">
        <v>33</v>
      </c>
      <c r="F27" s="12" t="n">
        <v>3</v>
      </c>
      <c r="G27" s="11" t="s">
        <v>154</v>
      </c>
      <c r="H27" s="13" t="s">
        <v>129</v>
      </c>
      <c r="I27" s="14"/>
      <c r="J27" s="5" t="s">
        <v>155</v>
      </c>
      <c r="K27" s="5" t="s">
        <v>156</v>
      </c>
      <c r="L27" s="15"/>
      <c r="M27" s="15"/>
    </row>
    <row r="28" customFormat="false" ht="26.85" hidden="false" customHeight="false" outlineLevel="0" collapsed="false">
      <c r="A28" s="10" t="s">
        <v>157</v>
      </c>
      <c r="B28" s="5" t="s">
        <v>158</v>
      </c>
      <c r="C28" s="11" t="s">
        <v>66</v>
      </c>
      <c r="D28" s="5" t="s">
        <v>153</v>
      </c>
      <c r="E28" s="11" t="s">
        <v>33</v>
      </c>
      <c r="F28" s="12" t="n">
        <v>3</v>
      </c>
      <c r="G28" s="11" t="s">
        <v>154</v>
      </c>
      <c r="H28" s="13" t="s">
        <v>129</v>
      </c>
      <c r="I28" s="14"/>
      <c r="J28" s="5" t="s">
        <v>84</v>
      </c>
      <c r="K28" s="5" t="s">
        <v>159</v>
      </c>
      <c r="L28" s="15"/>
      <c r="M28" s="15"/>
    </row>
    <row r="29" customFormat="false" ht="39.55" hidden="false" customHeight="false" outlineLevel="0" collapsed="false">
      <c r="A29" s="10" t="s">
        <v>160</v>
      </c>
      <c r="B29" s="5" t="s">
        <v>161</v>
      </c>
      <c r="C29" s="11" t="s">
        <v>66</v>
      </c>
      <c r="D29" s="5" t="s">
        <v>153</v>
      </c>
      <c r="E29" s="11" t="s">
        <v>33</v>
      </c>
      <c r="F29" s="12" t="n">
        <v>8</v>
      </c>
      <c r="G29" s="11" t="s">
        <v>154</v>
      </c>
      <c r="H29" s="13" t="s">
        <v>129</v>
      </c>
      <c r="I29" s="14"/>
      <c r="J29" s="5" t="s">
        <v>162</v>
      </c>
      <c r="K29" s="5" t="s">
        <v>163</v>
      </c>
      <c r="L29" s="15"/>
      <c r="M29" s="15"/>
    </row>
    <row r="30" customFormat="false" ht="26.85" hidden="false" customHeight="false" outlineLevel="0" collapsed="false">
      <c r="A30" s="10" t="s">
        <v>164</v>
      </c>
      <c r="B30" s="5" t="s">
        <v>165</v>
      </c>
      <c r="C30" s="11" t="s">
        <v>66</v>
      </c>
      <c r="D30" s="5" t="s">
        <v>153</v>
      </c>
      <c r="E30" s="11" t="s">
        <v>33</v>
      </c>
      <c r="F30" s="12" t="n">
        <v>3</v>
      </c>
      <c r="G30" s="11" t="s">
        <v>154</v>
      </c>
      <c r="H30" s="13" t="s">
        <v>129</v>
      </c>
      <c r="I30" s="14"/>
      <c r="J30" s="5" t="s">
        <v>118</v>
      </c>
      <c r="K30" s="5" t="s">
        <v>166</v>
      </c>
      <c r="L30" s="15"/>
      <c r="M30" s="15"/>
    </row>
    <row r="31" customFormat="false" ht="26.85" hidden="false" customHeight="false" outlineLevel="0" collapsed="false">
      <c r="A31" s="10" t="s">
        <v>167</v>
      </c>
      <c r="B31" s="5" t="s">
        <v>168</v>
      </c>
      <c r="C31" s="11" t="s">
        <v>66</v>
      </c>
      <c r="D31" s="5" t="s">
        <v>153</v>
      </c>
      <c r="E31" s="11" t="s">
        <v>33</v>
      </c>
      <c r="F31" s="12" t="n">
        <v>2</v>
      </c>
      <c r="G31" s="11" t="s">
        <v>154</v>
      </c>
      <c r="H31" s="13" t="s">
        <v>129</v>
      </c>
      <c r="I31" s="14"/>
      <c r="J31" s="5" t="s">
        <v>133</v>
      </c>
      <c r="K31" s="5" t="s">
        <v>169</v>
      </c>
      <c r="L31" s="15"/>
      <c r="M31" s="15"/>
    </row>
    <row r="32" customFormat="false" ht="26.85" hidden="false" customHeight="false" outlineLevel="0" collapsed="false">
      <c r="A32" s="10" t="s">
        <v>170</v>
      </c>
      <c r="B32" s="5" t="s">
        <v>171</v>
      </c>
      <c r="C32" s="11" t="s">
        <v>66</v>
      </c>
      <c r="D32" s="5" t="s">
        <v>153</v>
      </c>
      <c r="E32" s="11" t="s">
        <v>33</v>
      </c>
      <c r="F32" s="12" t="n">
        <v>5</v>
      </c>
      <c r="G32" s="11" t="s">
        <v>154</v>
      </c>
      <c r="H32" s="13" t="s">
        <v>129</v>
      </c>
      <c r="I32" s="14"/>
      <c r="J32" s="5" t="s">
        <v>172</v>
      </c>
      <c r="K32" s="5" t="s">
        <v>173</v>
      </c>
      <c r="L32" s="15"/>
      <c r="M32" s="15"/>
    </row>
    <row r="33" customFormat="false" ht="26.85" hidden="false" customHeight="false" outlineLevel="0" collapsed="false">
      <c r="A33" s="10" t="s">
        <v>174</v>
      </c>
      <c r="B33" s="5" t="s">
        <v>175</v>
      </c>
      <c r="C33" s="11" t="s">
        <v>66</v>
      </c>
      <c r="D33" s="5" t="s">
        <v>153</v>
      </c>
      <c r="E33" s="11" t="s">
        <v>33</v>
      </c>
      <c r="F33" s="12" t="n">
        <v>2</v>
      </c>
      <c r="G33" s="11" t="s">
        <v>154</v>
      </c>
      <c r="H33" s="13" t="s">
        <v>129</v>
      </c>
      <c r="I33" s="14"/>
      <c r="J33" s="5" t="s">
        <v>155</v>
      </c>
      <c r="K33" s="5" t="s">
        <v>176</v>
      </c>
      <c r="L33" s="15"/>
      <c r="M33" s="15"/>
    </row>
    <row r="34" customFormat="false" ht="26.85" hidden="false" customHeight="false" outlineLevel="0" collapsed="false">
      <c r="A34" s="10" t="s">
        <v>177</v>
      </c>
      <c r="B34" s="5" t="s">
        <v>178</v>
      </c>
      <c r="C34" s="11" t="s">
        <v>31</v>
      </c>
      <c r="D34" s="5" t="s">
        <v>179</v>
      </c>
      <c r="E34" s="11" t="s">
        <v>180</v>
      </c>
      <c r="F34" s="12" t="n">
        <v>3</v>
      </c>
      <c r="G34" s="11" t="s">
        <v>181</v>
      </c>
      <c r="H34" s="13" t="s">
        <v>129</v>
      </c>
      <c r="I34" s="14"/>
      <c r="J34" s="5" t="s">
        <v>182</v>
      </c>
      <c r="K34" s="5" t="s">
        <v>183</v>
      </c>
      <c r="L34" s="15"/>
      <c r="M34" s="15"/>
    </row>
    <row r="35" customFormat="false" ht="39.55" hidden="false" customHeight="false" outlineLevel="0" collapsed="false">
      <c r="A35" s="10" t="s">
        <v>184</v>
      </c>
      <c r="B35" s="5" t="s">
        <v>185</v>
      </c>
      <c r="C35" s="11" t="s">
        <v>31</v>
      </c>
      <c r="D35" s="5" t="s">
        <v>58</v>
      </c>
      <c r="E35" s="11" t="s">
        <v>33</v>
      </c>
      <c r="F35" s="12" t="n">
        <v>3</v>
      </c>
      <c r="G35" s="11" t="s">
        <v>181</v>
      </c>
      <c r="H35" s="13" t="s">
        <v>129</v>
      </c>
      <c r="I35" s="14"/>
      <c r="J35" s="5" t="s">
        <v>60</v>
      </c>
      <c r="K35" s="5" t="s">
        <v>186</v>
      </c>
      <c r="L35" s="15"/>
      <c r="M35" s="15"/>
    </row>
    <row r="36" customFormat="false" ht="26.85" hidden="false" customHeight="false" outlineLevel="0" collapsed="false">
      <c r="A36" s="10" t="s">
        <v>187</v>
      </c>
      <c r="B36" s="5" t="s">
        <v>188</v>
      </c>
      <c r="C36" s="11" t="s">
        <v>31</v>
      </c>
      <c r="D36" s="5" t="s">
        <v>109</v>
      </c>
      <c r="E36" s="11" t="s">
        <v>33</v>
      </c>
      <c r="F36" s="12" t="n">
        <v>2</v>
      </c>
      <c r="G36" s="11" t="s">
        <v>181</v>
      </c>
      <c r="H36" s="13" t="s">
        <v>129</v>
      </c>
      <c r="I36" s="14"/>
      <c r="J36" s="5" t="s">
        <v>189</v>
      </c>
      <c r="K36" s="5" t="s">
        <v>190</v>
      </c>
      <c r="L36" s="15"/>
      <c r="M36" s="15"/>
    </row>
    <row r="37" customFormat="false" ht="26.85" hidden="false" customHeight="false" outlineLevel="0" collapsed="false">
      <c r="A37" s="10" t="s">
        <v>191</v>
      </c>
      <c r="B37" s="5" t="s">
        <v>192</v>
      </c>
      <c r="C37" s="11" t="s">
        <v>31</v>
      </c>
      <c r="D37" s="5" t="s">
        <v>182</v>
      </c>
      <c r="E37" s="11" t="s">
        <v>180</v>
      </c>
      <c r="F37" s="12" t="n">
        <v>2</v>
      </c>
      <c r="G37" s="11" t="s">
        <v>181</v>
      </c>
      <c r="H37" s="13" t="s">
        <v>129</v>
      </c>
      <c r="I37" s="14"/>
      <c r="J37" s="5" t="s">
        <v>182</v>
      </c>
      <c r="K37" s="5" t="s">
        <v>193</v>
      </c>
      <c r="L37" s="15"/>
      <c r="M37" s="15"/>
    </row>
    <row r="38" customFormat="false" ht="39.55" hidden="false" customHeight="false" outlineLevel="0" collapsed="false">
      <c r="A38" s="10" t="s">
        <v>194</v>
      </c>
      <c r="B38" s="5" t="s">
        <v>195</v>
      </c>
      <c r="C38" s="11" t="s">
        <v>31</v>
      </c>
      <c r="D38" s="5" t="s">
        <v>90</v>
      </c>
      <c r="E38" s="11" t="s">
        <v>180</v>
      </c>
      <c r="F38" s="12" t="n">
        <v>3</v>
      </c>
      <c r="G38" s="11" t="s">
        <v>116</v>
      </c>
      <c r="H38" s="13" t="s">
        <v>129</v>
      </c>
      <c r="I38" s="14"/>
      <c r="J38" s="5" t="s">
        <v>91</v>
      </c>
      <c r="K38" s="5" t="s">
        <v>196</v>
      </c>
      <c r="L38" s="15"/>
      <c r="M38" s="15"/>
    </row>
    <row r="39" customFormat="false" ht="26.85" hidden="false" customHeight="false" outlineLevel="0" collapsed="false">
      <c r="A39" s="10" t="s">
        <v>197</v>
      </c>
      <c r="B39" s="5" t="s">
        <v>198</v>
      </c>
      <c r="C39" s="11" t="s">
        <v>31</v>
      </c>
      <c r="D39" s="5" t="s">
        <v>115</v>
      </c>
      <c r="E39" s="11" t="s">
        <v>199</v>
      </c>
      <c r="F39" s="12" t="n">
        <v>3</v>
      </c>
      <c r="G39" s="11" t="s">
        <v>181</v>
      </c>
      <c r="H39" s="13" t="s">
        <v>129</v>
      </c>
      <c r="I39" s="14"/>
      <c r="J39" s="5" t="s">
        <v>124</v>
      </c>
      <c r="K39" s="5" t="s">
        <v>200</v>
      </c>
      <c r="L39" s="15"/>
      <c r="M39" s="15"/>
    </row>
  </sheetData>
  <autoFilter ref="A4:M39"/>
  <conditionalFormatting sqref="H5:H39">
    <cfRule type="cellIs" priority="2" operator="equal" aboveAverage="0" equalAverage="0" bottom="0" percent="0" rank="0" text="" dxfId="8">
      <formula>"Hecho"</formula>
    </cfRule>
    <cfRule type="cellIs" priority="3" operator="equal" aboveAverage="0" equalAverage="0" bottom="0" percent="0" rank="0" text="" dxfId="9">
      <formula>"En curso"</formula>
    </cfRule>
    <cfRule type="cellIs" priority="4" operator="equal" aboveAverage="0" equalAverage="0" bottom="0" percent="0" rank="0" text="" dxfId="10">
      <formula>"Bloqueado"</formula>
    </cfRule>
  </conditionalFormatting>
  <dataValidations count="3">
    <dataValidation allowBlank="false" errorStyle="stop" operator="between" showDropDown="false" showErrorMessage="false" showInputMessage="false" sqref="H5:H39" type="list">
      <formula1>"Pendiente,En curso,Hecho,Bloqueado"</formula1>
      <formula2>0</formula2>
    </dataValidation>
    <dataValidation allowBlank="false" errorStyle="stop" operator="between" showDropDown="false" showErrorMessage="false" showInputMessage="false" sqref="G5:G39" type="list">
      <formula1>Sprints!$A$5:$A$9</formula1>
      <formula2>0</formula2>
    </dataValidation>
    <dataValidation allowBlank="false" errorStyle="stop" operator="between" showDropDown="false" showErrorMessage="false" showInputMessage="false" sqref="I5:I39" type="date">
      <formula1>DATE(2026,10,17)</formula1>
      <formula2>DATE(2026,10,26)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4" min="3" style="0" width="12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9"/>
    <col collapsed="false" customWidth="true" hidden="false" outlineLevel="0" max="11" min="10" style="0" width="35"/>
  </cols>
  <sheetData>
    <row r="1" customFormat="false" ht="17.35" hidden="false" customHeight="false" outlineLevel="0" collapsed="false">
      <c r="A1" s="1" t="s">
        <v>201</v>
      </c>
    </row>
    <row r="2" customFormat="false" ht="15" hidden="false" customHeight="false" outlineLevel="0" collapsed="false">
      <c r="A2" s="2" t="s">
        <v>202</v>
      </c>
    </row>
    <row r="4" customFormat="false" ht="39.55" hidden="false" customHeight="false" outlineLevel="0" collapsed="false">
      <c r="A4" s="9" t="s">
        <v>22</v>
      </c>
      <c r="B4" s="9" t="s">
        <v>203</v>
      </c>
      <c r="C4" s="9" t="s">
        <v>204</v>
      </c>
      <c r="D4" s="9" t="s">
        <v>205</v>
      </c>
      <c r="E4" s="9" t="s">
        <v>206</v>
      </c>
      <c r="F4" s="9" t="s">
        <v>207</v>
      </c>
      <c r="G4" s="9" t="s">
        <v>208</v>
      </c>
      <c r="H4" s="9" t="s">
        <v>209</v>
      </c>
      <c r="I4" s="9" t="s">
        <v>210</v>
      </c>
      <c r="J4" s="9" t="s">
        <v>211</v>
      </c>
      <c r="K4" s="9" t="s">
        <v>212</v>
      </c>
    </row>
    <row r="5" customFormat="false" ht="141" hidden="false" customHeight="false" outlineLevel="0" collapsed="false">
      <c r="A5" s="3" t="s">
        <v>34</v>
      </c>
      <c r="B5" s="5" t="s">
        <v>213</v>
      </c>
      <c r="C5" s="4" t="n">
        <v>46312</v>
      </c>
      <c r="D5" s="4" t="n">
        <v>46312</v>
      </c>
      <c r="E5" s="5" t="s">
        <v>214</v>
      </c>
      <c r="F5" s="5" t="n">
        <f aca="false">COUNTIF('Product Backlog'!$G$5:$G$39,A5)</f>
        <v>4</v>
      </c>
      <c r="G5" s="5" t="n">
        <f aca="false">SUMIFS('Product Backlog'!$F$5:$F$39,'Product Backlog'!$G$5:$G$39,A5)</f>
        <v>13</v>
      </c>
      <c r="H5" s="5" t="n">
        <f aca="false">SUMIFS('Product Backlog'!$F$5:$F$39,'Product Backlog'!$G$5:$G$39,A5,'Product Backlog'!$H$5:$H$39,"Hecho")</f>
        <v>13</v>
      </c>
      <c r="I5" s="6" t="n">
        <f aca="false">IF(G5=0,0,H5/G5)</f>
        <v>1</v>
      </c>
      <c r="J5" s="15" t="s">
        <v>215</v>
      </c>
      <c r="K5" s="15" t="s">
        <v>216</v>
      </c>
    </row>
    <row r="6" customFormat="false" ht="179.1" hidden="false" customHeight="false" outlineLevel="0" collapsed="false">
      <c r="A6" s="3" t="s">
        <v>59</v>
      </c>
      <c r="B6" s="5" t="s">
        <v>217</v>
      </c>
      <c r="C6" s="4" t="n">
        <v>46313</v>
      </c>
      <c r="D6" s="4" t="n">
        <v>46315</v>
      </c>
      <c r="E6" s="5" t="s">
        <v>218</v>
      </c>
      <c r="F6" s="5" t="n">
        <f aca="false">COUNTIF('Product Backlog'!$G$5:$G$39,A6)</f>
        <v>10</v>
      </c>
      <c r="G6" s="5" t="n">
        <f aca="false">SUMIFS('Product Backlog'!$F$5:$F$39,'Product Backlog'!$G$5:$G$39,A6)</f>
        <v>31</v>
      </c>
      <c r="H6" s="5" t="n">
        <f aca="false">SUMIFS('Product Backlog'!$F$5:$F$39,'Product Backlog'!$G$5:$G$39,A6,'Product Backlog'!$H$5:$H$39,"Hecho")</f>
        <v>31</v>
      </c>
      <c r="I6" s="6" t="n">
        <f aca="false">IF(G6=0,0,H6/G6)</f>
        <v>1</v>
      </c>
      <c r="J6" s="15" t="s">
        <v>219</v>
      </c>
      <c r="K6" s="15" t="s">
        <v>220</v>
      </c>
    </row>
    <row r="7" customFormat="false" ht="26.85" hidden="false" customHeight="false" outlineLevel="0" collapsed="false">
      <c r="A7" s="3" t="s">
        <v>116</v>
      </c>
      <c r="B7" s="5" t="s">
        <v>221</v>
      </c>
      <c r="C7" s="4" t="n">
        <v>46315</v>
      </c>
      <c r="D7" s="4" t="n">
        <v>46316</v>
      </c>
      <c r="E7" s="5" t="s">
        <v>222</v>
      </c>
      <c r="F7" s="5" t="n">
        <f aca="false">COUNTIF('Product Backlog'!$G$5:$G$39,A7)</f>
        <v>9</v>
      </c>
      <c r="G7" s="5" t="n">
        <f aca="false">SUMIFS('Product Backlog'!$F$5:$F$39,'Product Backlog'!$G$5:$G$39,A7)</f>
        <v>40</v>
      </c>
      <c r="H7" s="5" t="n">
        <f aca="false">SUMIFS('Product Backlog'!$F$5:$F$39,'Product Backlog'!$G$5:$G$39,A7,'Product Backlog'!$H$5:$H$39,"Hecho")</f>
        <v>0</v>
      </c>
      <c r="I7" s="6" t="n">
        <f aca="false">IF(G7=0,0,H7/G7)</f>
        <v>0</v>
      </c>
      <c r="J7" s="15"/>
      <c r="K7" s="15"/>
    </row>
    <row r="8" customFormat="false" ht="26.85" hidden="false" customHeight="false" outlineLevel="0" collapsed="false">
      <c r="A8" s="3" t="s">
        <v>154</v>
      </c>
      <c r="B8" s="5" t="s">
        <v>153</v>
      </c>
      <c r="C8" s="4" t="n">
        <v>46317</v>
      </c>
      <c r="D8" s="4" t="n">
        <v>46319</v>
      </c>
      <c r="E8" s="5" t="s">
        <v>223</v>
      </c>
      <c r="F8" s="5" t="n">
        <f aca="false">COUNTIF('Product Backlog'!$G$5:$G$39,A8)</f>
        <v>7</v>
      </c>
      <c r="G8" s="5" t="n">
        <f aca="false">SUMIFS('Product Backlog'!$F$5:$F$39,'Product Backlog'!$G$5:$G$39,A8)</f>
        <v>26</v>
      </c>
      <c r="H8" s="5" t="n">
        <f aca="false">SUMIFS('Product Backlog'!$F$5:$F$39,'Product Backlog'!$G$5:$G$39,A8,'Product Backlog'!$H$5:$H$39,"Hecho")</f>
        <v>0</v>
      </c>
      <c r="I8" s="6" t="n">
        <f aca="false">IF(G8=0,0,H8/G8)</f>
        <v>0</v>
      </c>
      <c r="J8" s="15"/>
      <c r="K8" s="15"/>
    </row>
    <row r="9" customFormat="false" ht="26.85" hidden="false" customHeight="false" outlineLevel="0" collapsed="false">
      <c r="A9" s="3" t="s">
        <v>181</v>
      </c>
      <c r="B9" s="5" t="s">
        <v>224</v>
      </c>
      <c r="C9" s="4" t="n">
        <v>46320</v>
      </c>
      <c r="D9" s="4" t="n">
        <v>46321</v>
      </c>
      <c r="E9" s="5" t="s">
        <v>225</v>
      </c>
      <c r="F9" s="5" t="n">
        <f aca="false">COUNTIF('Product Backlog'!$G$5:$G$39,A9)</f>
        <v>5</v>
      </c>
      <c r="G9" s="5" t="n">
        <f aca="false">SUMIFS('Product Backlog'!$F$5:$F$39,'Product Backlog'!$G$5:$G$39,A9)</f>
        <v>13</v>
      </c>
      <c r="H9" s="5" t="n">
        <f aca="false">SUMIFS('Product Backlog'!$F$5:$F$39,'Product Backlog'!$G$5:$G$39,A9,'Product Backlog'!$H$5:$H$39,"Hecho")</f>
        <v>0</v>
      </c>
      <c r="I9" s="6" t="n">
        <f aca="false">IF(G9=0,0,H9/G9)</f>
        <v>0</v>
      </c>
      <c r="J9" s="15"/>
      <c r="K9" s="15"/>
    </row>
    <row r="10" customFormat="false" ht="15" hidden="false" customHeight="false" outlineLevel="0" collapsed="false">
      <c r="A10" s="3" t="s">
        <v>226</v>
      </c>
      <c r="F10" s="3" t="n">
        <f aca="false">SUM(F5:F9)</f>
        <v>35</v>
      </c>
      <c r="G10" s="3" t="n">
        <f aca="false">SUM(G5:G9)</f>
        <v>123</v>
      </c>
      <c r="H10" s="3" t="n">
        <f aca="false">SUM(H5:H9)</f>
        <v>44</v>
      </c>
      <c r="I10" s="16" t="n">
        <f aca="false">IF(G10=0,0,H10/G10)</f>
        <v>0.357723577235772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227</v>
      </c>
    </row>
    <row r="2" customFormat="false" ht="15" hidden="false" customHeight="false" outlineLevel="0" collapsed="false">
      <c r="A2" s="2" t="s">
        <v>228</v>
      </c>
    </row>
    <row r="4" customFormat="false" ht="15" hidden="false" customHeight="false" outlineLevel="0" collapsed="false">
      <c r="A4" s="9" t="s">
        <v>229</v>
      </c>
      <c r="B4" s="9" t="s">
        <v>230</v>
      </c>
      <c r="C4" s="9" t="s">
        <v>231</v>
      </c>
      <c r="D4" s="9" t="s">
        <v>232</v>
      </c>
    </row>
    <row r="5" customFormat="false" ht="15" hidden="false" customHeight="false" outlineLevel="0" collapsed="false">
      <c r="A5" s="3" t="s">
        <v>233</v>
      </c>
      <c r="B5" s="5" t="s">
        <v>234</v>
      </c>
      <c r="C5" s="17" t="n">
        <v>5</v>
      </c>
      <c r="D5" s="5" t="s">
        <v>235</v>
      </c>
    </row>
    <row r="6" customFormat="false" ht="15" hidden="false" customHeight="false" outlineLevel="0" collapsed="false">
      <c r="A6" s="3" t="s">
        <v>233</v>
      </c>
      <c r="B6" s="5" t="s">
        <v>236</v>
      </c>
      <c r="C6" s="17" t="n">
        <v>2</v>
      </c>
      <c r="D6" s="5" t="s">
        <v>237</v>
      </c>
    </row>
    <row r="7" customFormat="false" ht="15" hidden="false" customHeight="false" outlineLevel="0" collapsed="false">
      <c r="A7" s="3" t="s">
        <v>233</v>
      </c>
      <c r="B7" s="5" t="s">
        <v>238</v>
      </c>
      <c r="C7" s="17" t="n">
        <v>2</v>
      </c>
      <c r="D7" s="5" t="s">
        <v>239</v>
      </c>
    </row>
    <row r="8" customFormat="false" ht="15" hidden="false" customHeight="false" outlineLevel="0" collapsed="false">
      <c r="A8" s="3" t="s">
        <v>233</v>
      </c>
      <c r="B8" s="5" t="s">
        <v>240</v>
      </c>
      <c r="C8" s="17" t="n">
        <v>4</v>
      </c>
      <c r="D8" s="5" t="s">
        <v>241</v>
      </c>
    </row>
    <row r="9" customFormat="false" ht="15" hidden="false" customHeight="false" outlineLevel="0" collapsed="false">
      <c r="A9" s="3" t="s">
        <v>233</v>
      </c>
      <c r="B9" s="5" t="s">
        <v>242</v>
      </c>
      <c r="C9" s="17" t="n">
        <v>2</v>
      </c>
      <c r="D9" s="5" t="s">
        <v>243</v>
      </c>
    </row>
    <row r="10" customFormat="false" ht="15" hidden="false" customHeight="false" outlineLevel="0" collapsed="false">
      <c r="A10" s="3" t="s">
        <v>233</v>
      </c>
      <c r="B10" s="5" t="s">
        <v>244</v>
      </c>
      <c r="C10" s="17" t="n">
        <v>5</v>
      </c>
      <c r="D10" s="5" t="s">
        <v>160</v>
      </c>
    </row>
    <row r="11" customFormat="false" ht="15" hidden="false" customHeight="false" outlineLevel="0" collapsed="false">
      <c r="A11" s="3" t="s">
        <v>245</v>
      </c>
      <c r="B11" s="5" t="s">
        <v>246</v>
      </c>
      <c r="C11" s="17" t="n">
        <v>5</v>
      </c>
      <c r="D11" s="5" t="s">
        <v>247</v>
      </c>
    </row>
    <row r="12" customFormat="false" ht="15" hidden="false" customHeight="false" outlineLevel="0" collapsed="false">
      <c r="A12" s="3" t="s">
        <v>245</v>
      </c>
      <c r="B12" s="5" t="s">
        <v>248</v>
      </c>
      <c r="C12" s="17" t="n">
        <v>5</v>
      </c>
      <c r="D12" s="5" t="s">
        <v>249</v>
      </c>
    </row>
    <row r="13" customFormat="false" ht="15" hidden="false" customHeight="false" outlineLevel="0" collapsed="false">
      <c r="A13" s="3" t="s">
        <v>245</v>
      </c>
      <c r="B13" s="5" t="s">
        <v>250</v>
      </c>
      <c r="C13" s="17" t="n">
        <v>5</v>
      </c>
      <c r="D13" s="5" t="s">
        <v>251</v>
      </c>
    </row>
    <row r="14" customFormat="false" ht="26.85" hidden="false" customHeight="false" outlineLevel="0" collapsed="false">
      <c r="A14" s="3" t="s">
        <v>245</v>
      </c>
      <c r="B14" s="5" t="s">
        <v>252</v>
      </c>
      <c r="C14" s="17" t="n">
        <v>5</v>
      </c>
      <c r="D14" s="5" t="s">
        <v>253</v>
      </c>
    </row>
    <row r="15" customFormat="false" ht="15" hidden="false" customHeight="false" outlineLevel="0" collapsed="false">
      <c r="B15" s="3" t="s">
        <v>254</v>
      </c>
      <c r="C15" s="3" t="n">
        <f aca="false">SUMIFS(C5:C14,A5:A14,"Servicios")</f>
        <v>20</v>
      </c>
    </row>
    <row r="16" customFormat="false" ht="15" hidden="false" customHeight="false" outlineLevel="0" collapsed="false">
      <c r="B16" s="3" t="s">
        <v>255</v>
      </c>
      <c r="C16" s="3" t="n">
        <f aca="false">SUMIFS(C5:C14,A5:A14,"Arquitectura")</f>
        <v>20</v>
      </c>
    </row>
    <row r="17" customFormat="false" ht="15" hidden="false" customHeight="false" outlineLevel="0" collapsed="false">
      <c r="B17" s="3" t="s">
        <v>256</v>
      </c>
      <c r="C17" s="3" t="n">
        <f aca="false">(C15+C16)/2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</cols>
  <sheetData>
    <row r="1" customFormat="false" ht="17.35" hidden="false" customHeight="false" outlineLevel="0" collapsed="false">
      <c r="A1" s="1" t="s">
        <v>257</v>
      </c>
    </row>
    <row r="2" customFormat="false" ht="15" hidden="false" customHeight="false" outlineLevel="0" collapsed="false">
      <c r="A2" s="2" t="s">
        <v>258</v>
      </c>
    </row>
    <row r="4" customFormat="false" ht="15" hidden="false" customHeight="false" outlineLevel="0" collapsed="false">
      <c r="A4" s="9" t="s">
        <v>259</v>
      </c>
      <c r="B4" s="9" t="s">
        <v>260</v>
      </c>
      <c r="C4" s="9" t="s">
        <v>261</v>
      </c>
    </row>
    <row r="5" customFormat="false" ht="15" hidden="false" customHeight="false" outlineLevel="0" collapsed="false">
      <c r="A5" s="18" t="n">
        <v>46312</v>
      </c>
      <c r="B5" s="19" t="n">
        <f aca="false">Resumen!$B$7*(1-0/9)</f>
        <v>123</v>
      </c>
      <c r="C5" s="5" t="n">
        <f aca="false">Resumen!$B$7-SUMIFS('Product Backlog'!$F$5:$F$39,'Product Backlog'!$H$5:$H$39,"Hecho",'Product Backlog'!$I$5:$I$39,"&lt;="&amp;A5)</f>
        <v>110</v>
      </c>
    </row>
    <row r="6" customFormat="false" ht="15" hidden="false" customHeight="false" outlineLevel="0" collapsed="false">
      <c r="A6" s="18" t="n">
        <v>46313</v>
      </c>
      <c r="B6" s="19" t="n">
        <f aca="false">Resumen!$B$7*(1-1/9)</f>
        <v>109.333333333333</v>
      </c>
      <c r="C6" s="5" t="n">
        <f aca="false">Resumen!$B$7-SUMIFS('Product Backlog'!$F$5:$F$39,'Product Backlog'!$H$5:$H$39,"Hecho",'Product Backlog'!$I$5:$I$39,"&lt;="&amp;A6)</f>
        <v>101</v>
      </c>
    </row>
    <row r="7" customFormat="false" ht="15" hidden="false" customHeight="false" outlineLevel="0" collapsed="false">
      <c r="A7" s="18" t="n">
        <v>46314</v>
      </c>
      <c r="B7" s="19" t="n">
        <f aca="false">Resumen!$B$7*(1-2/9)</f>
        <v>95.6666666666667</v>
      </c>
      <c r="C7" s="5" t="n">
        <f aca="false">Resumen!$B$7-SUMIFS('Product Backlog'!$F$5:$F$39,'Product Backlog'!$H$5:$H$39,"Hecho",'Product Backlog'!$I$5:$I$39,"&lt;="&amp;A7)</f>
        <v>95</v>
      </c>
    </row>
    <row r="8" customFormat="false" ht="15" hidden="false" customHeight="false" outlineLevel="0" collapsed="false">
      <c r="A8" s="18" t="n">
        <v>46315</v>
      </c>
      <c r="B8" s="19" t="n">
        <f aca="false">Resumen!$B$7*(1-3/9)</f>
        <v>82</v>
      </c>
      <c r="C8" s="5" t="n">
        <f aca="false">Resumen!$B$7-SUMIFS('Product Backlog'!$F$5:$F$39,'Product Backlog'!$H$5:$H$39,"Hecho",'Product Backlog'!$I$5:$I$39,"&lt;="&amp;A8)</f>
        <v>79</v>
      </c>
    </row>
    <row r="9" customFormat="false" ht="15" hidden="false" customHeight="false" outlineLevel="0" collapsed="false">
      <c r="A9" s="18" t="n">
        <v>46316</v>
      </c>
      <c r="B9" s="19" t="n">
        <f aca="false">Resumen!$B$7*(1-4/9)</f>
        <v>68.3333333333333</v>
      </c>
      <c r="C9" s="5" t="n">
        <f aca="false">Resumen!$B$7-SUMIFS('Product Backlog'!$F$5:$F$39,'Product Backlog'!$H$5:$H$39,"Hecho",'Product Backlog'!$I$5:$I$39,"&lt;="&amp;A9)</f>
        <v>79</v>
      </c>
    </row>
    <row r="10" customFormat="false" ht="15" hidden="false" customHeight="false" outlineLevel="0" collapsed="false">
      <c r="A10" s="18" t="n">
        <v>46317</v>
      </c>
      <c r="B10" s="19" t="n">
        <f aca="false">Resumen!$B$7*(1-5/9)</f>
        <v>54.6666666666667</v>
      </c>
      <c r="C10" s="5" t="n">
        <f aca="false">Resumen!$B$7-SUMIFS('Product Backlog'!$F$5:$F$39,'Product Backlog'!$H$5:$H$39,"Hecho",'Product Backlog'!$I$5:$I$39,"&lt;="&amp;A10)</f>
        <v>79</v>
      </c>
    </row>
    <row r="11" customFormat="false" ht="15" hidden="false" customHeight="false" outlineLevel="0" collapsed="false">
      <c r="A11" s="18" t="n">
        <v>46318</v>
      </c>
      <c r="B11" s="19" t="n">
        <f aca="false">Resumen!$B$7*(1-6/9)</f>
        <v>41</v>
      </c>
      <c r="C11" s="5" t="n">
        <f aca="false">Resumen!$B$7-SUMIFS('Product Backlog'!$F$5:$F$39,'Product Backlog'!$H$5:$H$39,"Hecho",'Product Backlog'!$I$5:$I$39,"&lt;="&amp;A11)</f>
        <v>79</v>
      </c>
    </row>
    <row r="12" customFormat="false" ht="15" hidden="false" customHeight="false" outlineLevel="0" collapsed="false">
      <c r="A12" s="18" t="n">
        <v>46319</v>
      </c>
      <c r="B12" s="19" t="n">
        <f aca="false">Resumen!$B$7*(1-7/9)</f>
        <v>27.3333333333333</v>
      </c>
      <c r="C12" s="5" t="n">
        <f aca="false">Resumen!$B$7-SUMIFS('Product Backlog'!$F$5:$F$39,'Product Backlog'!$H$5:$H$39,"Hecho",'Product Backlog'!$I$5:$I$39,"&lt;="&amp;A12)</f>
        <v>79</v>
      </c>
    </row>
    <row r="13" customFormat="false" ht="15" hidden="false" customHeight="false" outlineLevel="0" collapsed="false">
      <c r="A13" s="18" t="n">
        <v>46320</v>
      </c>
      <c r="B13" s="19" t="n">
        <f aca="false">Resumen!$B$7*(1-8/9)</f>
        <v>13.6666666666667</v>
      </c>
      <c r="C13" s="5" t="n">
        <f aca="false">Resumen!$B$7-SUMIFS('Product Backlog'!$F$5:$F$39,'Product Backlog'!$H$5:$H$39,"Hecho",'Product Backlog'!$I$5:$I$39,"&lt;="&amp;A13)</f>
        <v>79</v>
      </c>
    </row>
    <row r="14" customFormat="false" ht="15" hidden="false" customHeight="false" outlineLevel="0" collapsed="false">
      <c r="A14" s="18" t="n">
        <v>46321</v>
      </c>
      <c r="B14" s="19" t="n">
        <f aca="false">Resumen!$B$7*(1-9/9)</f>
        <v>0</v>
      </c>
      <c r="C14" s="5" t="n">
        <f aca="false">Resumen!$B$7-SUMIFS('Product Backlog'!$F$5:$F$39,'Product Backlog'!$H$5:$H$39,"Hecho",'Product Backlog'!$I$5:$I$39,"&lt;="&amp;A14)</f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2026-10-21T19:28:58Z</dcterms:created>
  <dc:creator>openpyxl</dc:creator>
  <dc:description/>
  <dc:language>en-US</dc:language>
  <cp:lastModifiedBy/>
  <dcterms:modified xsi:type="dcterms:W3CDTF">2026-10-21T14:29:01Z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
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<sst xmlns="http://schemas.openxmlformats.org/spreadsheetml/2006/main" count="536" uniqueCount="308">
  <si>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</si>
  <si>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</si>
  <si>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</si>
  <si>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</si>
  <si>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</si>
  <si>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</si>
  <si>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</si>
  <si>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</si>
  <si>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</si>
  <si>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</si>
  <si>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</si>
  <si>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</si>
  <si>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</si>
  <si>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</si>
  <si>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</si>
  <si>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</si>
  <si>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</si>
  <si>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</si>
  <si>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</si>
  <si>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</si>
  <si>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</si>
  <si>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</si>
  <si>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</si>
  <si>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</si>
  <si>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</si>
  <si>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</si>
  <si>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</si>
  <si>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</si>
  <si>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</si>
  <si>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</si>
  <si>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</si>
  <si>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</si>
  <si>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</si>
  <si>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</si>
  <si>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</si>
  <si>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</si>
  <si>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</si>
  <si>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</si>
  <si>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</si>
  <si>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</si>
  <si>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</si>
  <si>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</si>
  <si>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</si>
  <si>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</si>
  <si>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</si>
  <si>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</si>
  <si>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</si>
  <si>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</si>
  <si>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</si>
  <si>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</si>
  <si>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</si>
  <si>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</si>
  <si>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</si>
  <si>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</si>
  <si>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</si>
  <si>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</si>
  <si>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</si>
  <si>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</si>
  <si>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</si>
  <si>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</si>
  <si>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</si>
  <si>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</si>
  <si>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</si>
  <si>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</si>
  <si>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</si>
  <si>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</si>
  <si>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</si>
  <si>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</si>
  <si>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</si>
  <si>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</si>
  <si>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</si>
  <si>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</si>
  <si>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</si>
  <si>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</si>
  <si>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</si>
  <si>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</si>
  <si>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</si>
  <si>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</si>
  <si>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</si>
  <si>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</si>
  <si>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</si>
  <si>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</si>
  <si>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</si>
  <si>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</si>
  <si>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</si>
  <si>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</si>
  <si>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</si>
  <si>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</si>
  <si>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</si>
  <si>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</si>
  <si>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</si>
  <si>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</si>
  <si>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</si>
  <si>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</si>
  <si>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</si>
  <si>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</si>
  <si>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</si>
  <si>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</si>
  <si>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</si>
  <si>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</si>
  <si>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</si>
  <si>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</si>
  <si>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</si>
  <si>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</si>
  <si>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</si>
  <si>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</si>
  <si>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</si>
  <si>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</si>
  <si>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</si>
  <si>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</si>
  <si>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</si>
  <si>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</si>
  <si>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</si>
  <si>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</si>
  <si>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</si>
  <si>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</si>
  <si>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</si>
  <si>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</si>
  <si>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</si>
  <si>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</si>
  <si>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</si>
  <si>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</si>
  <si>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</si>
  <si>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</si>
  <si>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</si>
  <si>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</si>
  <si>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</si>
  <si>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</si>
  <si>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</si>
  <si>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</si>
  <si>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</si>
  <si>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</si>
  <si>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</si>
  <si>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</si>
  <si>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</si>
  <si>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</si>
  <si>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</si>
  <si>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</si>
  <si>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</si>
  <si>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</si>
  <si>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</si>
  <si>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</si>
  <si>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</si>
  <si>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</si>
  <si>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</si>
  <si>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 · feature/HU-20-mis-reservas-frontend · PR #29</t>
  </si>
  <si>
    <t xml:space="preserve">Front (PR #29, 23-oct): pantalla /reservas con filtros Activas/Historial/Todas (en el cliente), PENDIENTE vencida mostrada como EXPIRADA, descarga del PDF, estado vacío y "Partido #id" si match-service cae. Back: 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</si>
  <si>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</si>
  <si>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</si>
  <si>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</si>
  <si>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feature/HU-21-reporte-admin · PR #20</t>
  </si>
  <si>
    <t xml:space="preserve">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</si>
  <si>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</si>
  <si>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</si>
  <si>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</si>
  <si>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</si>
  <si>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</si>
  <si>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</si>
  <si>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</si>
  <si>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</si>
  <si>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</si>
  <si>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</si>
  <si>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</si>
  <si>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</si>
  <si>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feature/HU-23-login · PR #25</t>
  </si>
  <si>
    <t xml:space="preserve">Proxy de Vite (/auth-api, /match-api, /reservation-api → 8081/8082/8083): sin CORS, API Gateway en pequeño. http.js como única puerta: token, Problem Details (detail + errores por campo), 401 → cierra la sesión, filtros vacíos no se envían, login y registro sin token. Token en sessionStorage (sin cookies: CSRF sigue sin aplicar; defensa XSS: React escapa, sin dangerouslySetInnerHTML). Login redirige por rol y al cambio de contraseña en el primer acceso. Registro con errores del backend bajo cada campo (la cédula la valida solo el backend). Hallazgos: archivo con mayúscula distinta (loginPage/LoginPage), App.jsx sin rutas en el commit; riesgo abierto: mustChangePassword lo exige el front, no el backend.</t>
  </si>
  <si>
    <t xml:space="preserve">HU-24</t>
  </si>
  <si>
    <t xml:space="preserve">Como cliente, quiero un catálogo de partidos con búsqueda por fecha para elegir un evento</t>
  </si>
  <si>
    <t xml:space="preserve">Búsqueda por fecha funciona; muestra estadio, fecha y hora</t>
  </si>
  <si>
    <t xml:space="preserve">feature/HU-24-catalogo · PR #27</t>
  </si>
  <si>
    <t xml:space="preserve">Catálogo público en /: por defecto PROGRAMADO desde hoy; búsqueda por fecha y por equipo (mínimo 2 letras, validado antes de llamar). Endpoints públicos sin token (un token vencido no causa 401). Respuestas viejas ignoradas (race condition). Fechas con Intl es-EC armadas en hora local (new Date("AAAA-MM-DD") las corre un día por UTC). Cuatro estados: cargando, error, vacío y con datos. Bug: rutas nuevas fuera del Layout y "/" duplicada → seguía la página vieja.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</si>
  <si>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</si>
  <si>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</si>
  <si>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</si>
  <si>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</si>
  <si>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feature/HU-25-mapa-asientos · PR #28</t>
  </si>
  <si>
    <t xml:space="preserve">Plano SVG del estadio (lienzo cuadrado: cancha vertical con áreas, arcos y pista; secciones en sus recuadros con nombre ajustado a 1-2 líneas) y grilla de asientos orientada hacia la cancha (la fila A siempre pegada a la cancha, CSS Grid). Estructura una vez + disponibilidad cada refreshSeconds, pausada si la pestaña no está visible (usePolling, sin fugas). Índice seatId → asiento. Si otro cliente toma un asiento elegido, se quita de la selección y se avisa. Disponibilidad pública en el backend (solo ids). Accesible con teclado y sin depender solo del color. Bugs: archivos editados en otra carpeta / zip fuera del proyecto; CSS y JSX de versiones distintas.</t>
  </si>
  <si>
    <t xml:space="preserve">HU-26</t>
  </si>
  <si>
    <t xml:space="preserve">Como cliente, quiero un formulario de confirmación de reserva (máximo 6) para cerrar mi compra</t>
  </si>
  <si>
    <t xml:space="preserve">Resumen antes de confirmar; error 409/422 mostrado en lenguaje claro</t>
  </si>
  <si>
    <t xml:space="preserve">Reservar desde el mapa (botón desactivado mientras responde; 409 recarga la disponibilidad) y pantalla de la reserva con cuenta regresiva: la hora sin zona del backend se interpreta con -05:00 (Ecuador no tiene horario de verano), así funciona en cualquier zona horaria; ámbar en el último minuto y aviso al vencer. Confirmar y cancelar en dos pasos (botón secundario rojo). Hallazgo: commit mal etiquetado con archivos Java copiados dentro de frontend/src (eliminados y documentado en el PR). Mejora futura: cancelar por asiento (HU-36).</t>
  </si>
  <si>
    <t xml:space="preserve">HU-27</t>
  </si>
  <si>
    <t xml:space="preserve">Como cliente, quiero ver mi boleto electrónico con código QR para presentarlo en el ingreso</t>
  </si>
  <si>
    <t xml:space="preserve">QR visible y legible por un lector de celular</t>
  </si>
  <si>
    <t xml:space="preserve">Entradas con su QR en pantalla: la imagen requiere token, así que se descarga como Blob y se muestra con una URL temporal que se libera al salir (sin fugas de memoria). Descarga del PDF de entradas. Tickets anulados sin QR. QR escaneado con el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</si>
  <si>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</si>
  <si>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</si>
  <si>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</si>
  <si>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</si>
  <si>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feature/HU-28-admin-estadios · PR #30</t>
  </si>
  <si>
    <t xml:space="preserve">Panel del admin completo: estadios (CRUD, 409 si tiene secciones o partidos) y secciones con plano (vista previa en el mapa reutilizando StadiumMap, mismas reglas que el backend: límites, cancha, superposición); partidos con máquina de estados (solo botones válidos, confirmación en finalizar/cancelar, estadio fijo al editar); usuarios y roles (activar, desactivar, desbloquear; no se desactiva a sí mismo ni a ADMIN); reportes (KPIs, ocupación por partido y sección, PDF con los mismos filtros) y reservas por evento con cancelación por el admin (clientId solo en DTO de admin). Hallazgos de QA al probar: nombres únicos ignoraban tildes (índice con name_key + unaccent), registro con rol CLIENTE inactivo daba 500 (ahora 422), secciones grandes ilegibles (bloques), semillas con tamaños reales (8 460 asientos por estadio). Limitación: desactivar no corta un JWT vigente (60 min).</t>
  </si>
  <si>
    <t xml:space="preserve">HU-29</t>
  </si>
  <si>
    <t xml:space="preserve">Como usuario, quiero ver solo las opciones de mi rol para no acceder a funciones ajenas</t>
  </si>
  <si>
    <t xml:space="preserve">Cliente no ve menú admin; URL admin sin permiso redirige</t>
  </si>
  <si>
    <t xml:space="preserve">feature/HU-29-menu-por-rol · PR #26</t>
  </si>
  <si>
    <t xml:space="preserve">Menú según el rol (público, CLIENTE, ADMIN) y rutas agrupadas con ProtectedRoute + &lt;Outlet/&gt;: sin sesión → login y vuelve a la página pedida; rol ajeno → acceso denegado; mustChangePassword → siempre al cambio de contraseña (en el Layout). Aviso de sesión vencida tras un 401. No es seguridad (el backend responde 401/403): defensa en profundidad comprobada en Apidog. Menú del usuario con &lt;details&gt; nativo. Bugs: CSS del navbar no aplicado; el menú quedaba abierto al navegar (useRef).</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</si>
  <si>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</si>
  <si>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</si>
  <si>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</si>
  <si>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</si>
  <si>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</si>
  <si>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Pendiente</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</si>
  <si>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</si>
  <si>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</si>
  <si>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</si>
  <si>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</si>
  <si>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</si>
  <si>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</si>
  <si>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</si>
  <si>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</si>
  <si>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</si>
  <si>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</si>
  <si>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</si>
  <si>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</si>
  <si>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</si>
  <si>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</si>
  <si>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</si>
  <si>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Directo a main, sin PR (desviación documentada)</t>
  </si>
  <si>
    <t xml:space="preserve">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</si>
  <si>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</si>
  <si>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</si>
  <si>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</si>
  <si>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</si>
  <si>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</si>
  <si>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</si>
  <si>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</si>
  <si>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</si>
  <si>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</si>
  <si>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</si>
  <si>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</si>
  <si>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feature/HU-37-entradas-pdf · PR #19</t>
  </si>
  <si>
    <t xml:space="preserve">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</si>
  <si>
    <t xml:space="preserve">HU-38</t>
  </si>
  <si>
    <t xml:space="preserve">Como administrador, quiero ubicar cada sección como un recuadro sobre el plano del estadio para que el cliente vea un mapa real y elija su asiento</t>
  </si>
  <si>
    <t xml:space="preserve">Sección guarda x, y, ancho y alto en % del plano (0–100); fuera del plano → 400; superpuesta con otra sección → 422; GET /stadiums/{id}/layout devuelve secciones con su recuadro, filas y asientos; semillas con coordenadas</t>
  </si>
  <si>
    <t xml:space="preserve">feature/HU-38-plano-estadio · PR #22 · feature/HU-38-layout · PR #23 y #24</t>
  </si>
  <si>
    <t xml:space="preserve">Recuadro de cada sección (x, y, ancho, alto en % del plano, enteros) como @Embeddable SectionBox con overlaps(): no pisa la cancha (fija, x 28 y 25 44×50) ni otra sección → 422; tocarse en el borde no es superponerse (valor límite). Validación cruzada @AssertTrue isInsidePlan → 400. PUT /sections/{id}/box (se ignora a sí misma al mover) y box opcional al crear. Base: columnas pos_x, pos_y, width, height con CHECK de completitud y de plano (+4 pruebas, 24/24), semillas ubicadas. GET /stadiums/{id}/layout público: cancha, recuadros, filas y asientos, sin disponibilidad (estático vs. dinámico); N+1 con batch fetch. Bugs: base desactualizada → validate impidió arrancar y respondía la instancia vieja; dependencia circular SectionService → sí mismo; springdoc dentro de spring: (ignorado desde el Sprint 1).</t>
  </si>
  <si>
    <t xml:space="preserve">HU-39</t>
  </si>
  <si>
    <t xml:space="preserve">Como administrador, quiero arrastrar y redimensionar las secciones sobre el plano en lugar de escribir coordenadas</t>
  </si>
  <si>
    <t xml:space="preserve">Arrastrar/redimensionar actualiza x, y, ancho y alto; se guarda con el mismo endpoint de HU-38; las reglas de superposición siguen validándose en el backend</t>
  </si>
  <si>
    <t xml:space="preserve">Mejora visual de HU-38: editor de arrastrar y soltar (por ejemplo react-rnd). Recortable: HU-38 ya permite ubicar las secciones con números y vista previa.</t>
  </si>
  <si>
    <t xml:space="preserve">HU-40</t>
  </si>
  <si>
    <t xml:space="preserve">Como negocio, quiero que la venta online cierre a una hora fija respecto del inicio del partido, aunque el admin no cambie el estado</t>
  </si>
  <si>
    <t xml:space="preserve">Reservar o confirmar después de inicio + SALES_CLOSE_OFFSET_MINUTES → 422; la reserva vence a más tardar al cierre</t>
  </si>
  <si>
    <t xml:space="preserve">Regla nueva propuesta al probar HU-28: el estado lo cambia una persona, la hora es un hecho. SalesWindow (único dueño de la regla) en reservar, confirmar y disponibilidad: PROGRAMADO o EN_CURSO y antes de inicio + SALES_CLOSE_OFFSET_MINUTES (10, configurable; negativo = antes). expiresAt = min(ahora + HOLD_MINUTES, cierre). match-service envía fecha y hora en la validación de asientos (una sola llamada). El front solo lee salesOpen/salesCloseAt: no se calcula con el reloj del cliente.</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</si>
  <si>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</si>
  <si>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</si>
  <si>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</si>
  <si>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</si>
  <si>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</si>
  <si>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</si>
  <si>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</si>
  <si>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</si>
  <si>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</si>
  <si>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</si>
  <si>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</si>
  <si>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</si>
  <si>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</si>
  <si>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</si>
  <si>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</si>
  <si>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</si>
  <si>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</si>
  <si>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</si>
  <si>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</si>
  <si>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</si>
  <si>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</si>
  <si>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</si>
  <si>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</si>
  <si>
    <t xml:space="preserve">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</si>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</sst>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140</c:v>
                </c:pt>
                <c:pt idx="1">
                  <c:v>124.444444444444</c:v>
                </c:pt>
                <c:pt idx="2">
                  <c:v>108.888888888889</c:v>
                </c:pt>
                <c:pt idx="3">
                  <c:v>93.3333333333333</c:v>
                </c:pt>
                <c:pt idx="4">
                  <c:v>77.7777777777778</c:v>
                </c:pt>
                <c:pt idx="5">
                  <c:v>62.2222222222222</c:v>
                </c:pt>
                <c:pt idx="6">
                  <c:v>46.6666666666667</c:v>
                </c:pt>
                <c:pt idx="7">
                  <c:v>31.1111111111111</c:v>
                </c:pt>
                <c:pt idx="8">
                  <c:v>15.5555555555556</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127</c:v>
                </c:pt>
                <c:pt idx="1">
                  <c:v>118</c:v>
                </c:pt>
                <c:pt idx="2">
                  <c:v>112</c:v>
                </c:pt>
                <c:pt idx="3">
                  <c:v>96</c:v>
                </c:pt>
                <c:pt idx="4">
                  <c:v>69</c:v>
                </c:pt>
                <c:pt idx="5">
                  <c:v>48</c:v>
                </c:pt>
                <c:pt idx="6">
                  <c:v>19</c:v>
                </c:pt>
                <c:pt idx="7">
                  <c:v>19</c:v>
                </c:pt>
                <c:pt idx="8">
                  <c:v>19</c:v>
                </c:pt>
                <c:pt idx="9">
                  <c:v>19</c:v>
                </c:pt>
              </c:numCache>
            </c:numRef>
          </c:val>
          <c:smooth val="1"/>
        </c:ser>
        <c:hiLowLines>
          <c:spPr>
            <a:ln w="0">
              <a:noFill/>
            </a:ln>
          </c:spPr>
        </c:hiLowLines>
        <c:marker val="0"/>
        <c:axId val="2604376"/>
        <c:axId val="76982257"/>
      </c:lineChart>
      <c:catAx>
        <c:axId val="260437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982257"/>
        <c:crosses val="autoZero"/>
        <c:auto val="1"/>
        <c:lblAlgn val="ctr"/>
        <c:lblOffset val="100"/>
        <c:noMultiLvlLbl val="0"/>
      </c:catAx>
      <c:valAx>
        <c:axId val="769822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043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Backlog'!A5:A44)</f>
        <v>40</v>
      </c>
    </row>
    <row r="7" customFormat="false" ht="15" hidden="false" customHeight="false" outlineLevel="0" collapsed="false">
      <c r="A7" s="3" t="s">
        <v>5</v>
      </c>
      <c r="B7" s="5" t="n">
        <f aca="false">SUM('Product Backlog'!F5:F44)</f>
        <v>140</v>
      </c>
    </row>
    <row r="8" customFormat="false" ht="15" hidden="false" customHeight="false" outlineLevel="0" collapsed="false">
      <c r="A8" s="3" t="s">
        <v>6</v>
      </c>
      <c r="B8" s="5" t="n">
        <f aca="false">SUMIFS('Product Backlog'!F5:F44,'Product Backlog'!H5:H44,"Hecho")</f>
        <v>121</v>
      </c>
    </row>
    <row r="9" customFormat="false" ht="15" hidden="false" customHeight="false" outlineLevel="0" collapsed="false">
      <c r="A9" s="3" t="s">
        <v>7</v>
      </c>
      <c r="B9" s="6" t="n">
        <f aca="false">IF(B7=0,0,B8/B7)</f>
        <v>0.864285714285714</v>
      </c>
    </row>
    <row r="10" customFormat="false" ht="15" hidden="false" customHeight="false" outlineLevel="0" collapsed="false">
      <c r="A10" s="3" t="s">
        <v>8</v>
      </c>
      <c r="B10" s="5" t="n">
        <f aca="false">COUNTIF('Product Backlog'!H5:H44,"Hecho")</f>
        <v>33</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67.9"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217.15" hidden="false" customHeight="false" outlineLevel="0" collapsed="false">
      <c r="A25" s="10" t="s">
        <v>147</v>
      </c>
      <c r="B25" s="5" t="s">
        <v>148</v>
      </c>
      <c r="C25" s="11" t="s">
        <v>66</v>
      </c>
      <c r="D25" s="5" t="s">
        <v>115</v>
      </c>
      <c r="E25" s="11" t="s">
        <v>33</v>
      </c>
      <c r="F25" s="12" t="n">
        <v>5</v>
      </c>
      <c r="G25" s="11" t="s">
        <v>116</v>
      </c>
      <c r="H25" s="13" t="s">
        <v>35</v>
      </c>
      <c r="I25" s="14" t="n">
        <v>46317</v>
      </c>
      <c r="J25" s="5" t="s">
        <v>143</v>
      </c>
      <c r="K25" s="5" t="s">
        <v>149</v>
      </c>
      <c r="L25" s="15" t="s">
        <v>150</v>
      </c>
      <c r="M25" s="15" t="s">
        <v>151</v>
      </c>
    </row>
    <row r="26" customFormat="false" ht="141" hidden="false" customHeight="false" outlineLevel="0" collapsed="false">
      <c r="A26" s="10" t="s">
        <v>152</v>
      </c>
      <c r="B26" s="5" t="s">
        <v>153</v>
      </c>
      <c r="C26" s="11" t="s">
        <v>31</v>
      </c>
      <c r="D26" s="5" t="s">
        <v>154</v>
      </c>
      <c r="E26" s="11" t="s">
        <v>33</v>
      </c>
      <c r="F26" s="12" t="n">
        <v>3</v>
      </c>
      <c r="G26" s="11" t="s">
        <v>116</v>
      </c>
      <c r="H26" s="13" t="s">
        <v>35</v>
      </c>
      <c r="I26" s="14" t="n">
        <v>46316</v>
      </c>
      <c r="J26" s="5" t="s">
        <v>155</v>
      </c>
      <c r="K26" s="5" t="s">
        <v>156</v>
      </c>
      <c r="L26" s="15" t="s">
        <v>119</v>
      </c>
      <c r="M26" s="15" t="s">
        <v>157</v>
      </c>
    </row>
    <row r="27" customFormat="false" ht="217.15" hidden="false" customHeight="false" outlineLevel="0" collapsed="false">
      <c r="A27" s="10" t="s">
        <v>158</v>
      </c>
      <c r="B27" s="5" t="s">
        <v>159</v>
      </c>
      <c r="C27" s="11" t="s">
        <v>66</v>
      </c>
      <c r="D27" s="5" t="s">
        <v>160</v>
      </c>
      <c r="E27" s="11" t="s">
        <v>33</v>
      </c>
      <c r="F27" s="12" t="n">
        <v>3</v>
      </c>
      <c r="G27" s="11" t="s">
        <v>161</v>
      </c>
      <c r="H27" s="13" t="s">
        <v>35</v>
      </c>
      <c r="I27" s="14" t="n">
        <v>46318</v>
      </c>
      <c r="J27" s="5" t="s">
        <v>162</v>
      </c>
      <c r="K27" s="5" t="s">
        <v>163</v>
      </c>
      <c r="L27" s="15" t="s">
        <v>164</v>
      </c>
      <c r="M27" s="15" t="s">
        <v>165</v>
      </c>
    </row>
    <row r="28" customFormat="false" ht="141" hidden="false" customHeight="false" outlineLevel="0" collapsed="false">
      <c r="A28" s="10" t="s">
        <v>166</v>
      </c>
      <c r="B28" s="5" t="s">
        <v>167</v>
      </c>
      <c r="C28" s="11" t="s">
        <v>66</v>
      </c>
      <c r="D28" s="5" t="s">
        <v>160</v>
      </c>
      <c r="E28" s="11" t="s">
        <v>33</v>
      </c>
      <c r="F28" s="12" t="n">
        <v>3</v>
      </c>
      <c r="G28" s="11" t="s">
        <v>161</v>
      </c>
      <c r="H28" s="13" t="s">
        <v>35</v>
      </c>
      <c r="I28" s="14" t="n">
        <v>46318</v>
      </c>
      <c r="J28" s="5" t="s">
        <v>84</v>
      </c>
      <c r="K28" s="5" t="s">
        <v>168</v>
      </c>
      <c r="L28" s="15" t="s">
        <v>169</v>
      </c>
      <c r="M28" s="15" t="s">
        <v>170</v>
      </c>
    </row>
    <row r="29" customFormat="false" ht="191.75" hidden="false" customHeight="false" outlineLevel="0" collapsed="false">
      <c r="A29" s="10" t="s">
        <v>171</v>
      </c>
      <c r="B29" s="5" t="s">
        <v>172</v>
      </c>
      <c r="C29" s="11" t="s">
        <v>66</v>
      </c>
      <c r="D29" s="5" t="s">
        <v>160</v>
      </c>
      <c r="E29" s="11" t="s">
        <v>33</v>
      </c>
      <c r="F29" s="12" t="n">
        <v>8</v>
      </c>
      <c r="G29" s="11" t="s">
        <v>161</v>
      </c>
      <c r="H29" s="13" t="s">
        <v>35</v>
      </c>
      <c r="I29" s="14" t="n">
        <v>46318</v>
      </c>
      <c r="J29" s="5" t="s">
        <v>173</v>
      </c>
      <c r="K29" s="5" t="s">
        <v>174</v>
      </c>
      <c r="L29" s="15" t="s">
        <v>175</v>
      </c>
      <c r="M29" s="15" t="s">
        <v>176</v>
      </c>
    </row>
    <row r="30" customFormat="false" ht="166.4" hidden="false" customHeight="false" outlineLevel="0" collapsed="false">
      <c r="A30" s="10" t="s">
        <v>177</v>
      </c>
      <c r="B30" s="5" t="s">
        <v>178</v>
      </c>
      <c r="C30" s="11" t="s">
        <v>66</v>
      </c>
      <c r="D30" s="5" t="s">
        <v>160</v>
      </c>
      <c r="E30" s="11" t="s">
        <v>33</v>
      </c>
      <c r="F30" s="12" t="n">
        <v>3</v>
      </c>
      <c r="G30" s="11" t="s">
        <v>161</v>
      </c>
      <c r="H30" s="13" t="s">
        <v>35</v>
      </c>
      <c r="I30" s="14" t="n">
        <v>46318</v>
      </c>
      <c r="J30" s="5" t="s">
        <v>117</v>
      </c>
      <c r="K30" s="5" t="s">
        <v>179</v>
      </c>
      <c r="L30" s="15" t="s">
        <v>175</v>
      </c>
      <c r="M30" s="15" t="s">
        <v>180</v>
      </c>
    </row>
    <row r="31" customFormat="false" ht="77.6" hidden="false" customHeight="false" outlineLevel="0" collapsed="false">
      <c r="A31" s="10" t="s">
        <v>181</v>
      </c>
      <c r="B31" s="5" t="s">
        <v>182</v>
      </c>
      <c r="C31" s="11" t="s">
        <v>66</v>
      </c>
      <c r="D31" s="5" t="s">
        <v>160</v>
      </c>
      <c r="E31" s="11" t="s">
        <v>33</v>
      </c>
      <c r="F31" s="12" t="n">
        <v>2</v>
      </c>
      <c r="G31" s="11" t="s">
        <v>161</v>
      </c>
      <c r="H31" s="13" t="s">
        <v>35</v>
      </c>
      <c r="I31" s="14" t="n">
        <v>46318</v>
      </c>
      <c r="J31" s="5" t="s">
        <v>133</v>
      </c>
      <c r="K31" s="5" t="s">
        <v>183</v>
      </c>
      <c r="L31" s="15" t="s">
        <v>175</v>
      </c>
      <c r="M31" s="15" t="s">
        <v>184</v>
      </c>
    </row>
    <row r="32" customFormat="false" ht="255.2" hidden="false" customHeight="false" outlineLevel="0" collapsed="false">
      <c r="A32" s="10" t="s">
        <v>185</v>
      </c>
      <c r="B32" s="5" t="s">
        <v>186</v>
      </c>
      <c r="C32" s="11" t="s">
        <v>66</v>
      </c>
      <c r="D32" s="5" t="s">
        <v>160</v>
      </c>
      <c r="E32" s="11" t="s">
        <v>33</v>
      </c>
      <c r="F32" s="12" t="n">
        <v>5</v>
      </c>
      <c r="G32" s="11" t="s">
        <v>161</v>
      </c>
      <c r="H32" s="13" t="s">
        <v>35</v>
      </c>
      <c r="I32" s="14" t="n">
        <v>46318</v>
      </c>
      <c r="J32" s="5" t="s">
        <v>187</v>
      </c>
      <c r="K32" s="5" t="s">
        <v>188</v>
      </c>
      <c r="L32" s="15" t="s">
        <v>189</v>
      </c>
      <c r="M32" s="15" t="s">
        <v>190</v>
      </c>
    </row>
    <row r="33" customFormat="false" ht="153.7" hidden="false" customHeight="false" outlineLevel="0" collapsed="false">
      <c r="A33" s="10" t="s">
        <v>191</v>
      </c>
      <c r="B33" s="5" t="s">
        <v>192</v>
      </c>
      <c r="C33" s="11" t="s">
        <v>66</v>
      </c>
      <c r="D33" s="5" t="s">
        <v>160</v>
      </c>
      <c r="E33" s="11" t="s">
        <v>33</v>
      </c>
      <c r="F33" s="12" t="n">
        <v>2</v>
      </c>
      <c r="G33" s="11" t="s">
        <v>161</v>
      </c>
      <c r="H33" s="13" t="s">
        <v>35</v>
      </c>
      <c r="I33" s="14" t="n">
        <v>46318</v>
      </c>
      <c r="J33" s="5" t="s">
        <v>162</v>
      </c>
      <c r="K33" s="5" t="s">
        <v>193</v>
      </c>
      <c r="L33" s="15" t="s">
        <v>194</v>
      </c>
      <c r="M33" s="15" t="s">
        <v>195</v>
      </c>
    </row>
    <row r="34" customFormat="false" ht="26.85" hidden="false" customHeight="false" outlineLevel="0" collapsed="false">
      <c r="A34" s="10" t="s">
        <v>196</v>
      </c>
      <c r="B34" s="5" t="s">
        <v>197</v>
      </c>
      <c r="C34" s="11" t="s">
        <v>31</v>
      </c>
      <c r="D34" s="5" t="s">
        <v>198</v>
      </c>
      <c r="E34" s="11" t="s">
        <v>199</v>
      </c>
      <c r="F34" s="12" t="n">
        <v>3</v>
      </c>
      <c r="G34" s="11" t="s">
        <v>200</v>
      </c>
      <c r="H34" s="13" t="s">
        <v>201</v>
      </c>
      <c r="I34" s="14"/>
      <c r="J34" s="5" t="s">
        <v>202</v>
      </c>
      <c r="K34" s="5" t="s">
        <v>203</v>
      </c>
      <c r="L34" s="15"/>
      <c r="M34" s="15"/>
    </row>
    <row r="35" customFormat="false" ht="39.55" hidden="false" customHeight="false" outlineLevel="0" collapsed="false">
      <c r="A35" s="10" t="s">
        <v>204</v>
      </c>
      <c r="B35" s="5" t="s">
        <v>205</v>
      </c>
      <c r="C35" s="11" t="s">
        <v>31</v>
      </c>
      <c r="D35" s="5" t="s">
        <v>58</v>
      </c>
      <c r="E35" s="11" t="s">
        <v>33</v>
      </c>
      <c r="F35" s="12" t="n">
        <v>3</v>
      </c>
      <c r="G35" s="11" t="s">
        <v>200</v>
      </c>
      <c r="H35" s="13" t="s">
        <v>201</v>
      </c>
      <c r="I35" s="14"/>
      <c r="J35" s="5" t="s">
        <v>60</v>
      </c>
      <c r="K35" s="5" t="s">
        <v>206</v>
      </c>
      <c r="L35" s="15"/>
      <c r="M35" s="15"/>
    </row>
    <row r="36" customFormat="false" ht="26.85" hidden="false" customHeight="false" outlineLevel="0" collapsed="false">
      <c r="A36" s="10" t="s">
        <v>207</v>
      </c>
      <c r="B36" s="5" t="s">
        <v>208</v>
      </c>
      <c r="C36" s="11" t="s">
        <v>31</v>
      </c>
      <c r="D36" s="5" t="s">
        <v>109</v>
      </c>
      <c r="E36" s="11" t="s">
        <v>33</v>
      </c>
      <c r="F36" s="12" t="n">
        <v>2</v>
      </c>
      <c r="G36" s="11" t="s">
        <v>200</v>
      </c>
      <c r="H36" s="13" t="s">
        <v>201</v>
      </c>
      <c r="I36" s="14"/>
      <c r="J36" s="5" t="s">
        <v>209</v>
      </c>
      <c r="K36" s="5" t="s">
        <v>210</v>
      </c>
      <c r="L36" s="15"/>
      <c r="M36" s="15"/>
    </row>
    <row r="37" customFormat="false" ht="26.85" hidden="false" customHeight="false" outlineLevel="0" collapsed="false">
      <c r="A37" s="10" t="s">
        <v>211</v>
      </c>
      <c r="B37" s="5" t="s">
        <v>212</v>
      </c>
      <c r="C37" s="11" t="s">
        <v>31</v>
      </c>
      <c r="D37" s="5" t="s">
        <v>202</v>
      </c>
      <c r="E37" s="11" t="s">
        <v>199</v>
      </c>
      <c r="F37" s="12" t="n">
        <v>2</v>
      </c>
      <c r="G37" s="11" t="s">
        <v>200</v>
      </c>
      <c r="H37" s="13" t="s">
        <v>201</v>
      </c>
      <c r="I37" s="14"/>
      <c r="J37" s="5" t="s">
        <v>202</v>
      </c>
      <c r="K37" s="5" t="s">
        <v>213</v>
      </c>
      <c r="L37" s="15"/>
      <c r="M37" s="15"/>
    </row>
    <row r="38" customFormat="false" ht="191.75" hidden="false" customHeight="false" outlineLevel="0" collapsed="false">
      <c r="A38" s="10" t="s">
        <v>214</v>
      </c>
      <c r="B38" s="5" t="s">
        <v>215</v>
      </c>
      <c r="C38" s="11" t="s">
        <v>31</v>
      </c>
      <c r="D38" s="5" t="s">
        <v>90</v>
      </c>
      <c r="E38" s="11" t="s">
        <v>199</v>
      </c>
      <c r="F38" s="12" t="n">
        <v>3</v>
      </c>
      <c r="G38" s="11" t="s">
        <v>116</v>
      </c>
      <c r="H38" s="13" t="s">
        <v>35</v>
      </c>
      <c r="I38" s="14" t="n">
        <v>46317</v>
      </c>
      <c r="J38" s="5" t="s">
        <v>91</v>
      </c>
      <c r="K38" s="5" t="s">
        <v>216</v>
      </c>
      <c r="L38" s="15" t="s">
        <v>217</v>
      </c>
      <c r="M38" s="15" t="s">
        <v>218</v>
      </c>
    </row>
    <row r="39" customFormat="false" ht="26.85" hidden="false" customHeight="false" outlineLevel="0" collapsed="false">
      <c r="A39" s="10" t="s">
        <v>219</v>
      </c>
      <c r="B39" s="5" t="s">
        <v>220</v>
      </c>
      <c r="C39" s="11" t="s">
        <v>31</v>
      </c>
      <c r="D39" s="5" t="s">
        <v>115</v>
      </c>
      <c r="E39" s="11" t="s">
        <v>221</v>
      </c>
      <c r="F39" s="12" t="n">
        <v>3</v>
      </c>
      <c r="G39" s="11" t="s">
        <v>200</v>
      </c>
      <c r="H39" s="13" t="s">
        <v>201</v>
      </c>
      <c r="I39" s="14"/>
      <c r="J39" s="5" t="s">
        <v>123</v>
      </c>
      <c r="K39" s="5" t="s">
        <v>222</v>
      </c>
      <c r="L39" s="15"/>
      <c r="M39" s="15"/>
    </row>
    <row r="40" customFormat="false" ht="102.95" hidden="false" customHeight="false" outlineLevel="0" collapsed="false">
      <c r="A40" s="10" t="s">
        <v>223</v>
      </c>
      <c r="B40" s="5" t="s">
        <v>224</v>
      </c>
      <c r="C40" s="11" t="s">
        <v>66</v>
      </c>
      <c r="D40" s="5" t="s">
        <v>115</v>
      </c>
      <c r="E40" s="11" t="s">
        <v>221</v>
      </c>
      <c r="F40" s="12" t="n">
        <v>3</v>
      </c>
      <c r="G40" s="11" t="s">
        <v>200</v>
      </c>
      <c r="H40" s="13" t="s">
        <v>201</v>
      </c>
      <c r="I40" s="14"/>
      <c r="J40" s="5" t="s">
        <v>117</v>
      </c>
      <c r="K40" s="5" t="s">
        <v>225</v>
      </c>
      <c r="L40" s="15"/>
      <c r="M40" s="15" t="s">
        <v>226</v>
      </c>
    </row>
    <row r="41" customFormat="false" ht="166.4" hidden="false" customHeight="false" outlineLevel="0" collapsed="false">
      <c r="A41" s="10" t="s">
        <v>227</v>
      </c>
      <c r="B41" s="5" t="s">
        <v>228</v>
      </c>
      <c r="C41" s="11" t="s">
        <v>66</v>
      </c>
      <c r="D41" s="5" t="s">
        <v>115</v>
      </c>
      <c r="E41" s="11" t="s">
        <v>199</v>
      </c>
      <c r="F41" s="12" t="n">
        <v>3</v>
      </c>
      <c r="G41" s="11" t="s">
        <v>116</v>
      </c>
      <c r="H41" s="13" t="s">
        <v>35</v>
      </c>
      <c r="I41" s="14" t="n">
        <v>46317</v>
      </c>
      <c r="J41" s="5" t="s">
        <v>133</v>
      </c>
      <c r="K41" s="5" t="s">
        <v>229</v>
      </c>
      <c r="L41" s="15" t="s">
        <v>230</v>
      </c>
      <c r="M41" s="15" t="s">
        <v>231</v>
      </c>
    </row>
    <row r="42" customFormat="false" ht="242.5" hidden="false" customHeight="false" outlineLevel="0" collapsed="false">
      <c r="A42" s="10" t="s">
        <v>232</v>
      </c>
      <c r="B42" s="5" t="s">
        <v>233</v>
      </c>
      <c r="C42" s="11" t="s">
        <v>66</v>
      </c>
      <c r="D42" s="5" t="s">
        <v>67</v>
      </c>
      <c r="E42" s="11" t="s">
        <v>33</v>
      </c>
      <c r="F42" s="12" t="n">
        <v>5</v>
      </c>
      <c r="G42" s="11" t="s">
        <v>161</v>
      </c>
      <c r="H42" s="13" t="s">
        <v>35</v>
      </c>
      <c r="I42" s="14" t="n">
        <v>46317</v>
      </c>
      <c r="J42" s="5" t="s">
        <v>143</v>
      </c>
      <c r="K42" s="5" t="s">
        <v>234</v>
      </c>
      <c r="L42" s="15" t="s">
        <v>235</v>
      </c>
      <c r="M42" s="15" t="s">
        <v>236</v>
      </c>
    </row>
    <row r="43" customFormat="false" ht="52.2" hidden="false" customHeight="false" outlineLevel="0" collapsed="false">
      <c r="A43" s="10" t="s">
        <v>237</v>
      </c>
      <c r="B43" s="5" t="s">
        <v>238</v>
      </c>
      <c r="C43" s="11" t="s">
        <v>66</v>
      </c>
      <c r="D43" s="5" t="s">
        <v>160</v>
      </c>
      <c r="E43" s="11" t="s">
        <v>221</v>
      </c>
      <c r="F43" s="12" t="n">
        <v>3</v>
      </c>
      <c r="G43" s="11" t="s">
        <v>200</v>
      </c>
      <c r="H43" s="13" t="s">
        <v>201</v>
      </c>
      <c r="I43" s="14"/>
      <c r="J43" s="5" t="s">
        <v>143</v>
      </c>
      <c r="K43" s="5" t="s">
        <v>239</v>
      </c>
      <c r="L43" s="15"/>
      <c r="M43" s="15" t="s">
        <v>240</v>
      </c>
    </row>
    <row r="44" customFormat="false" ht="153.7" hidden="false" customHeight="false" outlineLevel="0" collapsed="false">
      <c r="A44" s="10" t="s">
        <v>241</v>
      </c>
      <c r="B44" s="5" t="s">
        <v>242</v>
      </c>
      <c r="C44" s="11" t="s">
        <v>66</v>
      </c>
      <c r="D44" s="5" t="s">
        <v>115</v>
      </c>
      <c r="E44" s="11" t="s">
        <v>199</v>
      </c>
      <c r="F44" s="12" t="n">
        <v>3</v>
      </c>
      <c r="G44" s="11" t="s">
        <v>161</v>
      </c>
      <c r="H44" s="13" t="s">
        <v>35</v>
      </c>
      <c r="I44" s="14" t="n">
        <v>46318</v>
      </c>
      <c r="J44" s="5" t="s">
        <v>143</v>
      </c>
      <c r="K44" s="5" t="s">
        <v>243</v>
      </c>
      <c r="L44" s="15" t="s">
        <v>189</v>
      </c>
      <c r="M44" s="15" t="s">
        <v>244</v>
      </c>
    </row>
  </sheetData>
  <autoFilter ref="A4:M44"/>
  <conditionalFormatting sqref="H5:H44">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4" type="list">
      <formula1>"Pendiente,En curso,Hecho,Bloqueado"</formula1>
      <formula2>0</formula2>
    </dataValidation>
    <dataValidation allowBlank="false" errorStyle="stop" operator="between" showDropDown="false" showErrorMessage="false" showInputMessage="false" sqref="G5:G44" type="list">
      <formula1>Sprints!$A$5:$A$9</formula1>
      <formula2>0</formula2>
    </dataValidation>
    <dataValidation allowBlank="false" errorStyle="stop" operator="between" showDropDown="false" showErrorMessage="false" showInputMessage="false" sqref="I5:I44"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245</v>
      </c>
    </row>
    <row r="2" customFormat="false" ht="15" hidden="false" customHeight="false" outlineLevel="0" collapsed="false">
      <c r="A2" s="2" t="s">
        <v>246</v>
      </c>
    </row>
    <row r="4" customFormat="false" ht="39.55" hidden="false" customHeight="false" outlineLevel="0" collapsed="false">
      <c r="A4" s="9" t="s">
        <v>22</v>
      </c>
      <c r="B4" s="9" t="s">
        <v>247</v>
      </c>
      <c r="C4" s="9" t="s">
        <v>248</v>
      </c>
      <c r="D4" s="9" t="s">
        <v>249</v>
      </c>
      <c r="E4" s="9" t="s">
        <v>250</v>
      </c>
      <c r="F4" s="9" t="s">
        <v>251</v>
      </c>
      <c r="G4" s="9" t="s">
        <v>252</v>
      </c>
      <c r="H4" s="9" t="s">
        <v>253</v>
      </c>
      <c r="I4" s="9" t="s">
        <v>254</v>
      </c>
      <c r="J4" s="9" t="s">
        <v>255</v>
      </c>
      <c r="K4" s="9" t="s">
        <v>256</v>
      </c>
    </row>
    <row r="5" customFormat="false" ht="141" hidden="false" customHeight="false" outlineLevel="0" collapsed="false">
      <c r="A5" s="3" t="s">
        <v>34</v>
      </c>
      <c r="B5" s="5" t="s">
        <v>257</v>
      </c>
      <c r="C5" s="4" t="n">
        <v>46312</v>
      </c>
      <c r="D5" s="4" t="n">
        <v>46312</v>
      </c>
      <c r="E5" s="5" t="s">
        <v>258</v>
      </c>
      <c r="F5" s="5" t="n">
        <f aca="false">COUNTIF('Product Backlog'!$G$5:$G$44,A5)</f>
        <v>4</v>
      </c>
      <c r="G5" s="5" t="n">
        <f aca="false">SUMIFS('Product Backlog'!$F$5:$F$44,'Product Backlog'!$G$5:$G$44,A5)</f>
        <v>13</v>
      </c>
      <c r="H5" s="5" t="n">
        <f aca="false">SUMIFS('Product Backlog'!$F$5:$F$44,'Product Backlog'!$G$5:$G$44,A5,'Product Backlog'!$H$5:$H$44,"Hecho")</f>
        <v>13</v>
      </c>
      <c r="I5" s="6" t="n">
        <f aca="false">IF(G5=0,0,H5/G5)</f>
        <v>1</v>
      </c>
      <c r="J5" s="15" t="s">
        <v>259</v>
      </c>
      <c r="K5" s="15" t="s">
        <v>260</v>
      </c>
    </row>
    <row r="6" customFormat="false" ht="179.1" hidden="false" customHeight="false" outlineLevel="0" collapsed="false">
      <c r="A6" s="3" t="s">
        <v>59</v>
      </c>
      <c r="B6" s="5" t="s">
        <v>261</v>
      </c>
      <c r="C6" s="4" t="n">
        <v>46313</v>
      </c>
      <c r="D6" s="4" t="n">
        <v>46315</v>
      </c>
      <c r="E6" s="5" t="s">
        <v>262</v>
      </c>
      <c r="F6" s="5" t="n">
        <f aca="false">COUNTIF('Product Backlog'!$G$5:$G$44,A6)</f>
        <v>10</v>
      </c>
      <c r="G6" s="5" t="n">
        <f aca="false">SUMIFS('Product Backlog'!$F$5:$F$44,'Product Backlog'!$G$5:$G$44,A6)</f>
        <v>31</v>
      </c>
      <c r="H6" s="5" t="n">
        <f aca="false">SUMIFS('Product Backlog'!$F$5:$F$44,'Product Backlog'!$G$5:$G$44,A6,'Product Backlog'!$H$5:$H$44,"Hecho")</f>
        <v>31</v>
      </c>
      <c r="I6" s="6" t="n">
        <f aca="false">IF(G6=0,0,H6/G6)</f>
        <v>1</v>
      </c>
      <c r="J6" s="15" t="s">
        <v>263</v>
      </c>
      <c r="K6" s="15" t="s">
        <v>264</v>
      </c>
    </row>
    <row r="7" customFormat="false" ht="229.85" hidden="false" customHeight="false" outlineLevel="0" collapsed="false">
      <c r="A7" s="3" t="s">
        <v>116</v>
      </c>
      <c r="B7" s="5" t="s">
        <v>265</v>
      </c>
      <c r="C7" s="4" t="n">
        <v>46315</v>
      </c>
      <c r="D7" s="4" t="n">
        <v>46317</v>
      </c>
      <c r="E7" s="5" t="s">
        <v>266</v>
      </c>
      <c r="F7" s="5" t="n">
        <f aca="false">COUNTIF('Product Backlog'!$G$5:$G$44,A7)</f>
        <v>10</v>
      </c>
      <c r="G7" s="5" t="n">
        <f aca="false">SUMIFS('Product Backlog'!$F$5:$F$44,'Product Backlog'!$G$5:$G$44,A7)</f>
        <v>43</v>
      </c>
      <c r="H7" s="5" t="n">
        <f aca="false">SUMIFS('Product Backlog'!$F$5:$F$44,'Product Backlog'!$G$5:$G$44,A7,'Product Backlog'!$H$5:$H$44,"Hecho")</f>
        <v>43</v>
      </c>
      <c r="I7" s="6" t="n">
        <f aca="false">IF(G7=0,0,H7/G7)</f>
        <v>1</v>
      </c>
      <c r="J7" s="15" t="s">
        <v>267</v>
      </c>
      <c r="K7" s="15" t="s">
        <v>268</v>
      </c>
    </row>
    <row r="8" customFormat="false" ht="26.85" hidden="false" customHeight="false" outlineLevel="0" collapsed="false">
      <c r="A8" s="3" t="s">
        <v>161</v>
      </c>
      <c r="B8" s="5" t="s">
        <v>160</v>
      </c>
      <c r="C8" s="4" t="n">
        <v>46317</v>
      </c>
      <c r="D8" s="4" t="n">
        <v>46319</v>
      </c>
      <c r="E8" s="5" t="s">
        <v>269</v>
      </c>
      <c r="F8" s="5" t="n">
        <f aca="false">COUNTIF('Product Backlog'!$G$5:$G$44,A8)</f>
        <v>9</v>
      </c>
      <c r="G8" s="5" t="n">
        <f aca="false">SUMIFS('Product Backlog'!$F$5:$F$44,'Product Backlog'!$G$5:$G$44,A8)</f>
        <v>34</v>
      </c>
      <c r="H8" s="5" t="n">
        <f aca="false">SUMIFS('Product Backlog'!$F$5:$F$44,'Product Backlog'!$G$5:$G$44,A8,'Product Backlog'!$H$5:$H$44,"Hecho")</f>
        <v>34</v>
      </c>
      <c r="I8" s="6" t="n">
        <f aca="false">IF(G8=0,0,H8/G8)</f>
        <v>1</v>
      </c>
      <c r="J8" s="15"/>
      <c r="K8" s="15"/>
    </row>
    <row r="9" customFormat="false" ht="26.85" hidden="false" customHeight="false" outlineLevel="0" collapsed="false">
      <c r="A9" s="3" t="s">
        <v>200</v>
      </c>
      <c r="B9" s="5" t="s">
        <v>270</v>
      </c>
      <c r="C9" s="4" t="n">
        <v>46320</v>
      </c>
      <c r="D9" s="4" t="n">
        <v>46321</v>
      </c>
      <c r="E9" s="5" t="s">
        <v>271</v>
      </c>
      <c r="F9" s="5" t="n">
        <f aca="false">COUNTIF('Product Backlog'!$G$5:$G$44,A9)</f>
        <v>7</v>
      </c>
      <c r="G9" s="5" t="n">
        <f aca="false">SUMIFS('Product Backlog'!$F$5:$F$44,'Product Backlog'!$G$5:$G$44,A9)</f>
        <v>19</v>
      </c>
      <c r="H9" s="5" t="n">
        <f aca="false">SUMIFS('Product Backlog'!$F$5:$F$44,'Product Backlog'!$G$5:$G$44,A9,'Product Backlog'!$H$5:$H$44,"Hecho")</f>
        <v>0</v>
      </c>
      <c r="I9" s="6" t="n">
        <f aca="false">IF(G9=0,0,H9/G9)</f>
        <v>0</v>
      </c>
      <c r="J9" s="15"/>
      <c r="K9" s="15"/>
    </row>
    <row r="10" customFormat="false" ht="15" hidden="false" customHeight="false" outlineLevel="0" collapsed="false">
      <c r="A10" s="3" t="s">
        <v>272</v>
      </c>
      <c r="F10" s="3" t="n">
        <f aca="false">SUM(F5:F9)</f>
        <v>40</v>
      </c>
      <c r="G10" s="3" t="n">
        <f aca="false">SUM(G5:G9)</f>
        <v>140</v>
      </c>
      <c r="H10" s="3" t="n">
        <f aca="false">SUM(H5:H9)</f>
        <v>121</v>
      </c>
      <c r="I10" s="16" t="n">
        <f aca="false">IF(G10=0,0,H10/G10)</f>
        <v>0.864285714285714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273</v>
      </c>
    </row>
    <row r="2" customFormat="false" ht="15" hidden="false" customHeight="false" outlineLevel="0" collapsed="false">
      <c r="A2" s="2" t="s">
        <v>274</v>
      </c>
    </row>
    <row r="4" customFormat="false" ht="15" hidden="false" customHeight="false" outlineLevel="0" collapsed="false">
      <c r="A4" s="9" t="s">
        <v>275</v>
      </c>
      <c r="B4" s="9" t="s">
        <v>276</v>
      </c>
      <c r="C4" s="9" t="s">
        <v>277</v>
      </c>
      <c r="D4" s="9" t="s">
        <v>278</v>
      </c>
    </row>
    <row r="5" customFormat="false" ht="15" hidden="false" customHeight="false" outlineLevel="0" collapsed="false">
      <c r="A5" s="3" t="s">
        <v>279</v>
      </c>
      <c r="B5" s="5" t="s">
        <v>280</v>
      </c>
      <c r="C5" s="17" t="n">
        <v>5</v>
      </c>
      <c r="D5" s="5" t="s">
        <v>281</v>
      </c>
    </row>
    <row r="6" customFormat="false" ht="15" hidden="false" customHeight="false" outlineLevel="0" collapsed="false">
      <c r="A6" s="3" t="s">
        <v>279</v>
      </c>
      <c r="B6" s="5" t="s">
        <v>282</v>
      </c>
      <c r="C6" s="17" t="n">
        <v>2</v>
      </c>
      <c r="D6" s="5" t="s">
        <v>283</v>
      </c>
    </row>
    <row r="7" customFormat="false" ht="15" hidden="false" customHeight="false" outlineLevel="0" collapsed="false">
      <c r="A7" s="3" t="s">
        <v>279</v>
      </c>
      <c r="B7" s="5" t="s">
        <v>284</v>
      </c>
      <c r="C7" s="17" t="n">
        <v>2</v>
      </c>
      <c r="D7" s="5" t="s">
        <v>285</v>
      </c>
    </row>
    <row r="8" customFormat="false" ht="15" hidden="false" customHeight="false" outlineLevel="0" collapsed="false">
      <c r="A8" s="3" t="s">
        <v>279</v>
      </c>
      <c r="B8" s="5" t="s">
        <v>286</v>
      </c>
      <c r="C8" s="17" t="n">
        <v>4</v>
      </c>
      <c r="D8" s="5" t="s">
        <v>287</v>
      </c>
    </row>
    <row r="9" customFormat="false" ht="15" hidden="false" customHeight="false" outlineLevel="0" collapsed="false">
      <c r="A9" s="3" t="s">
        <v>279</v>
      </c>
      <c r="B9" s="5" t="s">
        <v>288</v>
      </c>
      <c r="C9" s="17" t="n">
        <v>2</v>
      </c>
      <c r="D9" s="5" t="s">
        <v>289</v>
      </c>
    </row>
    <row r="10" customFormat="false" ht="15" hidden="false" customHeight="false" outlineLevel="0" collapsed="false">
      <c r="A10" s="3" t="s">
        <v>279</v>
      </c>
      <c r="B10" s="5" t="s">
        <v>290</v>
      </c>
      <c r="C10" s="17" t="n">
        <v>5</v>
      </c>
      <c r="D10" s="5" t="s">
        <v>171</v>
      </c>
    </row>
    <row r="11" customFormat="false" ht="15" hidden="false" customHeight="false" outlineLevel="0" collapsed="false">
      <c r="A11" s="3" t="s">
        <v>291</v>
      </c>
      <c r="B11" s="5" t="s">
        <v>292</v>
      </c>
      <c r="C11" s="17" t="n">
        <v>5</v>
      </c>
      <c r="D11" s="5" t="s">
        <v>293</v>
      </c>
    </row>
    <row r="12" customFormat="false" ht="15" hidden="false" customHeight="false" outlineLevel="0" collapsed="false">
      <c r="A12" s="3" t="s">
        <v>291</v>
      </c>
      <c r="B12" s="5" t="s">
        <v>294</v>
      </c>
      <c r="C12" s="17" t="n">
        <v>5</v>
      </c>
      <c r="D12" s="5" t="s">
        <v>295</v>
      </c>
    </row>
    <row r="13" customFormat="false" ht="15" hidden="false" customHeight="false" outlineLevel="0" collapsed="false">
      <c r="A13" s="3" t="s">
        <v>291</v>
      </c>
      <c r="B13" s="5" t="s">
        <v>296</v>
      </c>
      <c r="C13" s="17" t="n">
        <v>5</v>
      </c>
      <c r="D13" s="5" t="s">
        <v>297</v>
      </c>
    </row>
    <row r="14" customFormat="false" ht="26.85" hidden="false" customHeight="false" outlineLevel="0" collapsed="false">
      <c r="A14" s="3" t="s">
        <v>291</v>
      </c>
      <c r="B14" s="5" t="s">
        <v>298</v>
      </c>
      <c r="C14" s="17" t="n">
        <v>5</v>
      </c>
      <c r="D14" s="5" t="s">
        <v>299</v>
      </c>
    </row>
    <row r="15" customFormat="false" ht="15" hidden="false" customHeight="false" outlineLevel="0" collapsed="false">
      <c r="B15" s="3" t="s">
        <v>300</v>
      </c>
      <c r="C15" s="3" t="n">
        <f aca="false">SUMIFS(C5:C14,A5:A14,"Servicios")</f>
        <v>20</v>
      </c>
    </row>
    <row r="16" customFormat="false" ht="15" hidden="false" customHeight="false" outlineLevel="0" collapsed="false">
      <c r="B16" s="3" t="s">
        <v>301</v>
      </c>
      <c r="C16" s="3" t="n">
        <f aca="false">SUMIFS(C5:C14,A5:A14,"Arquitectura")</f>
        <v>20</v>
      </c>
    </row>
    <row r="17" customFormat="false" ht="15" hidden="false" customHeight="false" outlineLevel="0" collapsed="false">
      <c r="B17" s="3" t="s">
        <v>302</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303</v>
      </c>
    </row>
    <row r="2" customFormat="false" ht="15" hidden="false" customHeight="false" outlineLevel="0" collapsed="false">
      <c r="A2" s="2" t="s">
        <v>304</v>
      </c>
    </row>
    <row r="4" customFormat="false" ht="15" hidden="false" customHeight="false" outlineLevel="0" collapsed="false">
      <c r="A4" s="9" t="s">
        <v>305</v>
      </c>
      <c r="B4" s="9" t="s">
        <v>306</v>
      </c>
      <c r="C4" s="9" t="s">
        <v>307</v>
      </c>
    </row>
    <row r="5" customFormat="false" ht="15" hidden="false" customHeight="false" outlineLevel="0" collapsed="false">
      <c r="A5" s="18" t="n">
        <v>46312</v>
      </c>
      <c r="B5" s="19" t="n">
        <f aca="false">Resumen!$B$7*(1-0/9)</f>
        <v>140</v>
      </c>
      <c r="C5" s="5" t="n">
        <f aca="false">Resumen!$B$7-SUMIFS('Product Backlog'!$F$5:$F$44,'Product Backlog'!$H$5:$H$44,"Hecho",'Product Backlog'!$I$5:$I$44,"&lt;="&amp;A5)</f>
        <v>127</v>
      </c>
    </row>
    <row r="6" customFormat="false" ht="15" hidden="false" customHeight="false" outlineLevel="0" collapsed="false">
      <c r="A6" s="18" t="n">
        <v>46313</v>
      </c>
      <c r="B6" s="19" t="n">
        <f aca="false">Resumen!$B$7*(1-1/9)</f>
        <v>124.444444444444</v>
      </c>
      <c r="C6" s="5" t="n">
        <f aca="false">Resumen!$B$7-SUMIFS('Product Backlog'!$F$5:$F$44,'Product Backlog'!$H$5:$H$44,"Hecho",'Product Backlog'!$I$5:$I$44,"&lt;="&amp;A6)</f>
        <v>118</v>
      </c>
    </row>
    <row r="7" customFormat="false" ht="15" hidden="false" customHeight="false" outlineLevel="0" collapsed="false">
      <c r="A7" s="18" t="n">
        <v>46314</v>
      </c>
      <c r="B7" s="19" t="n">
        <f aca="false">Resumen!$B$7*(1-2/9)</f>
        <v>108.888888888889</v>
      </c>
      <c r="C7" s="5" t="n">
        <f aca="false">Resumen!$B$7-SUMIFS('Product Backlog'!$F$5:$F$44,'Product Backlog'!$H$5:$H$44,"Hecho",'Product Backlog'!$I$5:$I$44,"&lt;="&amp;A7)</f>
        <v>112</v>
      </c>
    </row>
    <row r="8" customFormat="false" ht="15" hidden="false" customHeight="false" outlineLevel="0" collapsed="false">
      <c r="A8" s="18" t="n">
        <v>46315</v>
      </c>
      <c r="B8" s="19" t="n">
        <f aca="false">Resumen!$B$7*(1-3/9)</f>
        <v>93.3333333333333</v>
      </c>
      <c r="C8" s="5" t="n">
        <f aca="false">Resumen!$B$7-SUMIFS('Product Backlog'!$F$5:$F$44,'Product Backlog'!$H$5:$H$44,"Hecho",'Product Backlog'!$I$5:$I$44,"&lt;="&amp;A8)</f>
        <v>96</v>
      </c>
    </row>
    <row r="9" customFormat="false" ht="15" hidden="false" customHeight="false" outlineLevel="0" collapsed="false">
      <c r="A9" s="18" t="n">
        <v>46316</v>
      </c>
      <c r="B9" s="19" t="n">
        <f aca="false">Resumen!$B$7*(1-4/9)</f>
        <v>77.7777777777778</v>
      </c>
      <c r="C9" s="5" t="n">
        <f aca="false">Resumen!$B$7-SUMIFS('Product Backlog'!$F$5:$F$44,'Product Backlog'!$H$5:$H$44,"Hecho",'Product Backlog'!$I$5:$I$44,"&lt;="&amp;A9)</f>
        <v>69</v>
      </c>
    </row>
    <row r="10" customFormat="false" ht="15" hidden="false" customHeight="false" outlineLevel="0" collapsed="false">
      <c r="A10" s="18" t="n">
        <v>46317</v>
      </c>
      <c r="B10" s="19" t="n">
        <f aca="false">Resumen!$B$7*(1-5/9)</f>
        <v>62.2222222222222</v>
      </c>
      <c r="C10" s="5" t="n">
        <f aca="false">Resumen!$B$7-SUMIFS('Product Backlog'!$F$5:$F$44,'Product Backlog'!$H$5:$H$44,"Hecho",'Product Backlog'!$I$5:$I$44,"&lt;="&amp;A10)</f>
        <v>48</v>
      </c>
    </row>
    <row r="11" customFormat="false" ht="15" hidden="false" customHeight="false" outlineLevel="0" collapsed="false">
      <c r="A11" s="18" t="n">
        <v>46318</v>
      </c>
      <c r="B11" s="19" t="n">
        <f aca="false">Resumen!$B$7*(1-6/9)</f>
        <v>46.6666666666667</v>
      </c>
      <c r="C11" s="5" t="n">
        <f aca="false">Resumen!$B$7-SUMIFS('Product Backlog'!$F$5:$F$44,'Product Backlog'!$H$5:$H$44,"Hecho",'Product Backlog'!$I$5:$I$44,"&lt;="&amp;A11)</f>
        <v>19</v>
      </c>
    </row>
    <row r="12" customFormat="false" ht="15" hidden="false" customHeight="false" outlineLevel="0" collapsed="false">
      <c r="A12" s="18" t="n">
        <v>46319</v>
      </c>
      <c r="B12" s="19" t="n">
        <f aca="false">Resumen!$B$7*(1-7/9)</f>
        <v>31.1111111111111</v>
      </c>
      <c r="C12" s="5" t="n">
        <f aca="false">Resumen!$B$7-SUMIFS('Product Backlog'!$F$5:$F$44,'Product Backlog'!$H$5:$H$44,"Hecho",'Product Backlog'!$I$5:$I$44,"&lt;="&amp;A12)</f>
        <v>19</v>
      </c>
    </row>
    <row r="13" customFormat="false" ht="15" hidden="false" customHeight="false" outlineLevel="0" collapsed="false">
      <c r="A13" s="18" t="n">
        <v>46320</v>
      </c>
      <c r="B13" s="19" t="n">
        <f aca="false">Resumen!$B$7*(1-8/9)</f>
        <v>15.5555555555556</v>
      </c>
      <c r="C13" s="5" t="n">
        <f aca="false">Resumen!$B$7-SUMIFS('Product Backlog'!$F$5:$F$44,'Product Backlog'!$H$5:$H$44,"Hecho",'Product Backlog'!$I$5:$I$44,"&lt;="&amp;A13)</f>
        <v>19</v>
      </c>
    </row>
    <row r="14" customFormat="false" ht="15" hidden="false" customHeight="false" outlineLevel="0" collapsed="false">
      <c r="A14" s="18" t="n">
        <v>46321</v>
      </c>
      <c r="B14" s="19" t="n">
        <f aca="false">Resumen!$B$7*(1-9/9)</f>
        <v>0</v>
      </c>
      <c r="C14" s="5" t="n">
        <f aca="false">Resumen!$B$7-SUMIFS('Product Backlog'!$F$5:$F$44,'Product Backlog'!$H$5:$H$44,"Hecho",'Product Backlog'!$I$5:$I$44,"&lt;="&amp;A14)</f>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2026-10-23T23:25:45Z</dcterms:created>
  <dc:creator>openpyxl</dc:creator>
  <dc:description/>
  <dc:language>en-US</dc:language>
  <cp:lastModifiedBy/>
  <dcterms:modified xsi:type="dcterms:W3CDTF">2026-10-23T18:25:47Z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
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roduct Backlog" sheetId="2" state="visible" r:id="rId2"/>
    <sheet xmlns:r="http://schemas.openxmlformats.org/officeDocument/2006/relationships" name="Sprints" sheetId="3" state="visible" r:id="rId3"/>
    <sheet xmlns:r="http://schemas.openxmlformats.org/officeDocument/2006/relationships" name="Rúbrica" sheetId="4" state="visible" r:id="rId4"/>
    <sheet xmlns:r="http://schemas.openxmlformats.org/officeDocument/2006/relationships" name="Burndown" sheetId="5" state="visible" r:id="rId5"/>
  </sheets>
  <definedNames>
    <definedName name="_xlnm._FilterDatabase" localSheetId="1" hidden="1">'Product Backlog'!$A$4:$M$51</definedName>
  </definedNames>
  <calcPr calcId="124519" fullCalcOnLoad="1"/>
</workbook>
</file>

<file path=xl/styles.xml><?xml version="1.0" encoding="utf-8"?>
<styleSheet xmlns="http://schemas.openxmlformats.org/spreadsheetml/2006/main">
  <numFmts count="3">
    <numFmt numFmtId="164" formatCode="dd/mm/yyyy"/>
    <numFmt numFmtId="165" formatCode="dd/mm"/>
    <numFmt numFmtId="166"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sz val="11"/>
    </font>
    <font>
      <name val="Arial"/>
      <charset val="1"/>
      <family val="0"/>
      <b val="1"/>
      <color rgb="FF000000"/>
      <sz val="11"/>
    </font>
    <font>
      <name val="Arial"/>
      <charset val="1"/>
      <family val="0"/>
      <color rgb="FF000000"/>
      <sz val="11"/>
    </font>
    <font>
      <name val="Arial"/>
      <charset val="1"/>
      <family val="0"/>
      <b val="1"/>
      <sz val="11"/>
    </font>
    <font>
      <name val="Arial"/>
      <charset val="1"/>
      <family val="0"/>
      <sz val="11"/>
    </font>
    <font>
      <name val="Arial"/>
      <charset val="1"/>
      <family val="0"/>
      <b val="1"/>
      <color rgb="FFFFFFFF"/>
      <sz val="11"/>
    </font>
    <font>
      <name val="Arial"/>
      <charset val="1"/>
      <family val="0"/>
      <color rgb="FF0000FF"/>
      <sz val="11"/>
    </font>
    <font>
      <name val="Calibri"/>
      <family val="2"/>
      <b val="1"/>
      <color rgb="FF000000"/>
      <sz val="18"/>
    </font>
    <font>
      <name val="Calibri"/>
      <family val="2"/>
      <color rgb="FF000000"/>
      <sz val="10"/>
    </font>
    <font>
      <name val="Calibri"/>
      <family val="2"/>
      <b val="1"/>
      <color rgb="FF000000"/>
      <sz val="10"/>
    </font>
  </fonts>
  <fills count="4">
    <fill>
      <patternFill/>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9"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7" fillId="3" borderId="1" applyAlignment="1" pivotButton="0" quotePrefix="0" xfId="0">
      <alignment horizontal="center" vertical="top" wrapText="1"/>
    </xf>
    <xf numFmtId="164" fontId="7" fillId="3" borderId="1" applyAlignment="1" pivotButton="0" quotePrefix="0" xfId="0">
      <alignment horizontal="center" vertical="top" wrapText="1"/>
    </xf>
    <xf numFmtId="0" fontId="7" fillId="3" borderId="1" applyAlignment="1" pivotButton="0" quotePrefix="0" xfId="0">
      <alignment horizontal="general" vertical="top" wrapText="1"/>
    </xf>
    <xf numFmtId="9"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165" fontId="7" fillId="0" borderId="1" applyAlignment="1" pivotButton="0" quotePrefix="0" xfId="0">
      <alignment horizontal="general" vertical="top" wrapText="1"/>
    </xf>
    <xf numFmtId="166"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9"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7" fillId="3" borderId="1" applyAlignment="1" pivotButton="0" quotePrefix="0" xfId="0">
      <alignment horizontal="center" vertical="top" wrapText="1"/>
    </xf>
    <xf numFmtId="164" fontId="7" fillId="3" borderId="1" applyAlignment="1" pivotButton="0" quotePrefix="0" xfId="0">
      <alignment horizontal="center" vertical="top" wrapText="1"/>
    </xf>
    <xf numFmtId="0" fontId="7" fillId="3" borderId="1" applyAlignment="1" pivotButton="0" quotePrefix="0" xfId="0">
      <alignment horizontal="general" vertical="top" wrapText="1"/>
    </xf>
    <xf numFmtId="9"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165" fontId="7" fillId="0" borderId="1" applyAlignment="1" pivotButton="0" quotePrefix="0" xfId="0">
      <alignment horizontal="general" vertical="top" wrapText="1"/>
    </xf>
    <xf numFmtId="166" fontId="7"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Burndown (story points restantes)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Burndown!B4</f>
              <strCache>
                <ptCount val="1"/>
                <pt idx="0">
                  <v>Ideal</v>
                </pt>
              </strCache>
            </strRef>
          </tx>
          <spPr>
            <a:solidFill xmlns:a="http://schemas.openxmlformats.org/drawingml/2006/main">
              <a:srgbClr val="4a7ebb"/>
            </a:solidFill>
            <a:ln xmlns:a="http://schemas.openxmlformats.org/drawingml/2006/main" w="28440">
              <a:solidFill>
                <a:srgbClr val="4a7ebb"/>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Burndown!$A$5:$A$14</f>
              <strCache>
                <ptCount val="10"/>
                <pt idx="0">
                  <v>17/10</v>
                </pt>
                <pt idx="1">
                  <v>18/10</v>
                </pt>
                <pt idx="2">
                  <v>19/10</v>
                </pt>
                <pt idx="3">
                  <v>20/10</v>
                </pt>
                <pt idx="4">
                  <v>21/10</v>
                </pt>
                <pt idx="5">
                  <v>22/10</v>
                </pt>
                <pt idx="6">
                  <v>23/10</v>
                </pt>
                <pt idx="7">
                  <v>24/10</v>
                </pt>
                <pt idx="8">
                  <v>25/10</v>
                </pt>
                <pt idx="9">
                  <v>26/10</v>
                </pt>
              </strCache>
            </strRef>
          </cat>
          <val>
            <numRef>
              <f>Burndown!$B$5:$B$14</f>
              <numCache>
                <formatCode>0.0</formatCode>
                <ptCount val="10"/>
                <pt idx="0">
                  <v>140</v>
                </pt>
                <pt idx="1">
                  <v>124.444444444444</v>
                </pt>
                <pt idx="2">
                  <v>108.888888888889</v>
                </pt>
                <pt idx="3">
                  <v>93.3333333333333</v>
                </pt>
                <pt idx="4">
                  <v>77.7777777777778</v>
                </pt>
                <pt idx="5">
                  <v>62.2222222222222</v>
                </pt>
                <pt idx="6">
                  <v>46.6666666666667</v>
                </pt>
                <pt idx="7">
                  <v>31.1111111111111</v>
                </pt>
                <pt idx="8">
                  <v>15.5555555555556</v>
                </pt>
                <pt idx="9">
                  <v>0</v>
                </pt>
              </numCache>
            </numRef>
          </val>
          <smooth val="1"/>
        </ser>
        <ser>
          <idx val="1"/>
          <order val="1"/>
          <tx>
            <strRef>
              <f>Burndown!C4</f>
              <strCache>
                <ptCount val="1"/>
                <pt idx="0">
                  <v>Real</v>
                </pt>
              </strCache>
            </strRef>
          </tx>
          <spPr>
            <a:solidFill xmlns:a="http://schemas.openxmlformats.org/drawingml/2006/main">
              <a:srgbClr val="be4b48"/>
            </a:solidFill>
            <a:ln xmlns:a="http://schemas.openxmlformats.org/drawingml/2006/main" w="28440">
              <a:solidFill>
                <a:srgbClr val="be4b48"/>
              </a:solidFill>
              <a:prstDash val="solid"/>
              <a:roun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Burndown!$A$5:$A$14</f>
              <strCache>
                <ptCount val="10"/>
                <pt idx="0">
                  <v>17/10</v>
                </pt>
                <pt idx="1">
                  <v>18/10</v>
                </pt>
                <pt idx="2">
                  <v>19/10</v>
                </pt>
                <pt idx="3">
                  <v>20/10</v>
                </pt>
                <pt idx="4">
                  <v>21/10</v>
                </pt>
                <pt idx="5">
                  <v>22/10</v>
                </pt>
                <pt idx="6">
                  <v>23/10</v>
                </pt>
                <pt idx="7">
                  <v>24/10</v>
                </pt>
                <pt idx="8">
                  <v>25/10</v>
                </pt>
                <pt idx="9">
                  <v>26/10</v>
                </pt>
              </strCache>
            </strRef>
          </cat>
          <val>
            <numRef>
              <f>Burndown!$C$5:$C$14</f>
              <numCache>
                <formatCode>General</formatCode>
                <ptCount val="10"/>
                <pt idx="0">
                  <v>127</v>
                </pt>
                <pt idx="1">
                  <v>118</v>
                </pt>
                <pt idx="2">
                  <v>112</v>
                </pt>
                <pt idx="3">
                  <v>96</v>
                </pt>
                <pt idx="4">
                  <v>69</v>
                </pt>
                <pt idx="5">
                  <v>48</v>
                </pt>
                <pt idx="6">
                  <v>19</v>
                </pt>
                <pt idx="7">
                  <v>19</v>
                </pt>
                <pt idx="8">
                  <v>19</v>
                </pt>
                <pt idx="9">
                  <v>19</v>
                </pt>
              </numCache>
            </numRef>
          </val>
          <smooth val="1"/>
        </ser>
        <hiLowLines>
          <spPr>
            <a:ln xmlns:a="http://schemas.openxmlformats.org/drawingml/2006/main" w="0">
              <a:noFill/>
              <a:prstDash val="solid"/>
            </a:ln>
          </spPr>
        </hiLowLines>
        <marker val="0"/>
        <axId val="2604376"/>
        <axId val="76982257"/>
      </lineChart>
      <catAx>
        <axId val="2604376"/>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Fecha</a:t>
                </a:r>
              </a:p>
            </rich>
          </tx>
          <overlay val="0"/>
          <spPr>
            <a:noFill xmlns:a="http://schemas.openxmlformats.org/drawingml/2006/main"/>
            <a:ln xmlns:a="http://schemas.openxmlformats.org/drawingml/2006/main" w="0">
              <a:noFill/>
              <a:prstDash val="solid"/>
            </a:ln>
          </spPr>
        </title>
        <numFmt formatCode="dd/mm"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6982257"/>
        <crosses val="autoZero"/>
        <auto val="1"/>
        <lblAlgn val="ctr"/>
        <lblOffset val="100"/>
        <noMultiLvlLbl val="0"/>
      </catAx>
      <valAx>
        <axId val="7698225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Puntos</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60437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2</row>
      <rowOff>160920</rowOff>
    </from>
    <to>
      <col>14</col>
      <colOff>364680</colOff>
      <row>19</row>
      <rowOff>162000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0" min="1" max="1"/>
    <col width="16" customWidth="1" style="20" min="2" max="2"/>
  </cols>
  <sheetData>
    <row r="1" ht="17.35" customHeight="1" s="21">
      <c r="A1" s="22" t="inlineStr">
        <is>
          <t>Plan de Sprints — Sistema de Gestión de Entradas para Eventos Deportivos</t>
        </is>
      </c>
    </row>
    <row r="2" ht="15" customHeight="1" s="21">
      <c r="A2" s="23" t="inlineStr">
        <is>
          <t>Complexivo práctico · Ingeniería en Sistemas de Información (UCE) · Metodología: Scrum adaptado (sprints cortos)</t>
        </is>
      </c>
    </row>
    <row r="4" ht="15" customHeight="1" s="21">
      <c r="A4" s="24" t="inlineStr">
        <is>
          <t>Inicio del proyecto</t>
        </is>
      </c>
      <c r="B4" s="25" t="n">
        <v>46312</v>
      </c>
    </row>
    <row r="5" ht="15" customHeight="1" s="21">
      <c r="A5" s="24" t="inlineStr">
        <is>
          <t>Fecha de entrega</t>
        </is>
      </c>
      <c r="B5" s="25" t="n">
        <v>46321</v>
      </c>
    </row>
    <row r="6" ht="15" customHeight="1" s="21">
      <c r="A6" s="24" t="inlineStr">
        <is>
          <t>Total de historias</t>
        </is>
      </c>
      <c r="B6" s="26">
        <f>COUNTA('Product Backlog'!A5:A51)</f>
        <v/>
      </c>
    </row>
    <row r="7" ht="15" customHeight="1" s="21">
      <c r="A7" s="24" t="inlineStr">
        <is>
          <t>Story points totales</t>
        </is>
      </c>
      <c r="B7" s="26">
        <f>SUM('Product Backlog'!F5:F51)</f>
        <v/>
      </c>
    </row>
    <row r="8" ht="15" customHeight="1" s="21">
      <c r="A8" s="24" t="inlineStr">
        <is>
          <t>Story points completados</t>
        </is>
      </c>
      <c r="B8" s="26">
        <f>SUMIFS('Product Backlog'!F5:F51,'Product Backlog'!H5:H51,"Hecho")</f>
        <v/>
      </c>
    </row>
    <row r="9" ht="15" customHeight="1" s="21">
      <c r="A9" s="24" t="inlineStr">
        <is>
          <t>Avance del proyecto</t>
        </is>
      </c>
      <c r="B9" s="27">
        <f>IF(B7=0,0,B8/B7)</f>
        <v/>
      </c>
    </row>
    <row r="10" ht="15" customHeight="1" s="21">
      <c r="A10" s="24" t="inlineStr">
        <is>
          <t>Historias completadas</t>
        </is>
      </c>
      <c r="B10" s="26">
        <f>COUNTIF('Product Backlog'!H5:H51,"Hecho")</f>
        <v/>
      </c>
    </row>
    <row r="12" ht="15" customHeight="1" s="21">
      <c r="A12" s="28" t="inlineStr">
        <is>
          <t>Cómo usar este archivo</t>
        </is>
      </c>
    </row>
    <row r="13" ht="15" customHeight="1" s="21">
      <c r="A13" s="29" t="inlineStr">
        <is>
          <t>• Edita solo las celdas amarillas: Estado, Fecha completada, Rama / PR y Notas en 'Product Backlog', y Review / Retrospectiva en 'Sprints'.</t>
        </is>
      </c>
    </row>
    <row r="14" ht="15" customHeight="1" s="21">
      <c r="A14" s="29" t="inlineStr">
        <is>
          <t>• Al marcar una historia como 'Hecho', pon la fecha en que se terminó: alimenta el burndown.</t>
        </is>
      </c>
    </row>
    <row r="15" ht="15" customHeight="1" s="21">
      <c r="A15" s="29" t="inlineStr">
        <is>
          <t>• Puntos de historia en escala Fibonacci (1, 2, 3, 5, 8): miden complejidad relativa, no horas.</t>
        </is>
      </c>
    </row>
    <row r="16" ht="15" customHeight="1" s="21">
      <c r="A16" s="29" t="inlineStr">
        <is>
          <t>• Prioridad MoSCoW: Must = obligatorio por enunciado/rúbrica; Should = suma valor en la defensa.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20" min="1" max="1"/>
    <col width="55" customWidth="1" style="20" min="2" max="2"/>
    <col width="11" customWidth="1" style="20" min="3" max="3"/>
    <col width="18" customWidth="1" style="20" min="4" max="4"/>
    <col width="11" customWidth="1" style="20" min="5" max="5"/>
    <col width="9" customWidth="1" style="20" min="6" max="6"/>
    <col width="10" customWidth="1" style="20" min="7" max="7"/>
    <col width="12" customWidth="1" style="20" min="8" max="8"/>
    <col width="13" customWidth="1" style="20" min="9" max="9"/>
    <col width="30" customWidth="1" style="20" min="10" max="10"/>
    <col width="55" customWidth="1" style="20" min="11" max="11"/>
    <col width="28" customWidth="1" style="20" min="12" max="12"/>
    <col width="45" customWidth="1" style="20" min="13" max="13"/>
  </cols>
  <sheetData>
    <row r="1" ht="17.35" customHeight="1" s="21">
      <c r="A1" s="22" t="inlineStr">
        <is>
          <t>Product Backlog</t>
        </is>
      </c>
    </row>
    <row r="2" ht="15" customHeight="1" s="21">
      <c r="A2" s="23" t="inlineStr">
        <is>
          <t>Celdas amarillas = editables (Estado, Fecha completada, Rama / PR, Notas). El resto es la planificación.</t>
        </is>
      </c>
    </row>
    <row r="4" ht="39.55" customHeight="1" s="21">
      <c r="A4" s="30" t="inlineStr">
        <is>
          <t>ID</t>
        </is>
      </c>
      <c r="B4" s="30" t="inlineStr">
        <is>
          <t>Historia de usuario</t>
        </is>
      </c>
      <c r="C4" s="30" t="inlineStr">
        <is>
          <t>Tipo</t>
        </is>
      </c>
      <c r="D4" s="30" t="inlineStr">
        <is>
          <t>Componente</t>
        </is>
      </c>
      <c r="E4" s="30" t="inlineStr">
        <is>
          <t>Prioridad</t>
        </is>
      </c>
      <c r="F4" s="30" t="inlineStr">
        <is>
          <t>Story points</t>
        </is>
      </c>
      <c r="G4" s="30" t="inlineStr">
        <is>
          <t>Sprint</t>
        </is>
      </c>
      <c r="H4" s="30" t="inlineStr">
        <is>
          <t>Estado</t>
        </is>
      </c>
      <c r="I4" s="30" t="inlineStr">
        <is>
          <t>Fecha completada</t>
        </is>
      </c>
      <c r="J4" s="30" t="inlineStr">
        <is>
          <t>Ítem de rúbrica</t>
        </is>
      </c>
      <c r="K4" s="30" t="inlineStr">
        <is>
          <t>Criterios de aceptación</t>
        </is>
      </c>
      <c r="L4" s="30" t="inlineStr">
        <is>
          <t>Rama / PR</t>
        </is>
      </c>
      <c r="M4" s="30" t="inlineStr">
        <is>
          <t>Notas</t>
        </is>
      </c>
    </row>
    <row r="5" ht="39.55" customHeight="1" s="21">
      <c r="A5" s="31" t="inlineStr">
        <is>
          <t>HU-01</t>
        </is>
      </c>
      <c r="B5" s="26" t="inlineStr">
        <is>
          <t>Como desarrolladora, quiero el entorno instalado (JDK 21, IntelliJ, Docker, Node, Git, Apidog) para poder construir el sistema</t>
        </is>
      </c>
      <c r="C5" s="32" t="inlineStr">
        <is>
          <t>Técnica</t>
        </is>
      </c>
      <c r="D5" s="26" t="inlineStr">
        <is>
          <t>Infraestructura</t>
        </is>
      </c>
      <c r="E5" s="32" t="inlineStr">
        <is>
          <t>Must</t>
        </is>
      </c>
      <c r="F5" s="33" t="n">
        <v>2</v>
      </c>
      <c r="G5" s="32" t="inlineStr">
        <is>
          <t>Sprint 0</t>
        </is>
      </c>
      <c r="H5" s="34" t="inlineStr">
        <is>
          <t>Hecho</t>
        </is>
      </c>
      <c r="I5" s="35" t="n">
        <v>46312</v>
      </c>
      <c r="J5" s="26" t="inlineStr">
        <is>
          <t>—</t>
        </is>
      </c>
      <c r="K5" s="26" t="inlineStr">
        <is>
          <t>Todos los comandos de versión responden; Docker levanta un contenedor PostgreSQL</t>
        </is>
      </c>
      <c r="L5" s="36" t="inlineStr">
        <is>
          <t>—</t>
        </is>
      </c>
      <c r="M5" s="36" t="inlineStr">
        <is>
          <t>JDK 17, IntelliJ, Docker (hello-world OK), Node, Git, VS Code. Apidog instalado.</t>
        </is>
      </c>
    </row>
    <row r="6" ht="39.55" customHeight="1" s="21">
      <c r="A6" s="31" t="inlineStr">
        <is>
          <t>HU-02</t>
        </is>
      </c>
      <c r="B6" s="26" t="inlineStr">
        <is>
          <t>Como equipo, quiero un modelo ER con las 11 entidades, cardinalidades y reglas de integridad para diseñar la base de datos</t>
        </is>
      </c>
      <c r="C6" s="32" t="inlineStr">
        <is>
          <t>Técnica</t>
        </is>
      </c>
      <c r="D6" s="26" t="inlineStr">
        <is>
          <t>Base de datos</t>
        </is>
      </c>
      <c r="E6" s="32" t="inlineStr">
        <is>
          <t>Must</t>
        </is>
      </c>
      <c r="F6" s="33" t="n">
        <v>5</v>
      </c>
      <c r="G6" s="32" t="inlineStr">
        <is>
          <t>Sprint 0</t>
        </is>
      </c>
      <c r="H6" s="34" t="inlineStr">
        <is>
          <t>Hecho</t>
        </is>
      </c>
      <c r="I6" s="35" t="n">
        <v>46312</v>
      </c>
      <c r="J6" s="26" t="inlineStr">
        <is>
          <t>Modelo ER, Scripts SQL (5)</t>
        </is>
      </c>
      <c r="K6" s="26" t="inlineStr">
        <is>
          <t>11 entidades; cardinalidades y participación indicadas; estado del asiento por partido modelado</t>
        </is>
      </c>
      <c r="L6" s="36" t="inlineStr">
        <is>
          <t>docs/HU-02-modelo-er · PR #1 · fix/HU-02-ruta-docs · PR #2</t>
        </is>
      </c>
      <c r="M6" s="36" t="inlineStr">
        <is>
          <t>12 tablas en 3 BD. Ruta corregida en PR #2. Actualizado con public_id UUID (decisión 12) en la rama de HU-03.</t>
        </is>
      </c>
    </row>
    <row r="7" ht="39.55" customHeight="1" s="21">
      <c r="A7" s="31" t="inlineStr">
        <is>
          <t>HU-03</t>
        </is>
      </c>
      <c r="B7" s="26" t="inlineStr">
        <is>
          <t>Como equipo, quiero un script SQL de creación con PK, FK y restricciones para generar la base de datos</t>
        </is>
      </c>
      <c r="C7" s="32" t="inlineStr">
        <is>
          <t>Técnica</t>
        </is>
      </c>
      <c r="D7" s="26" t="inlineStr">
        <is>
          <t>Base de datos</t>
        </is>
      </c>
      <c r="E7" s="32" t="inlineStr">
        <is>
          <t>Must</t>
        </is>
      </c>
      <c r="F7" s="33" t="n">
        <v>3</v>
      </c>
      <c r="G7" s="32" t="inlineStr">
        <is>
          <t>Sprint 0</t>
        </is>
      </c>
      <c r="H7" s="34" t="inlineStr">
        <is>
          <t>Hecho</t>
        </is>
      </c>
      <c r="I7" s="35" t="n">
        <v>46312</v>
      </c>
      <c r="J7" s="26" t="inlineStr">
        <is>
          <t>Modelo ER, Scripts SQL (5)</t>
        </is>
      </c>
      <c r="K7" s="26" t="inlineStr">
        <is>
          <t>El script corre sin errores en una BD vacía; UNIQUE(partido, asiento); CHECK de tipos de sección</t>
        </is>
      </c>
      <c r="L7" s="36" t="inlineStr">
        <is>
          <t>feature/HU-03-script-sql · PR #3</t>
        </is>
      </c>
      <c r="M7" s="36" t="inlineStr">
        <is>
          <t>3 scripts de esquema + 65 pruebas de restricciones (65/65 PASS). Id interno BIGINT + public_id UUID.</t>
        </is>
      </c>
    </row>
    <row r="8" ht="52.2" customHeight="1" s="21">
      <c r="A8" s="31" t="inlineStr">
        <is>
          <t>HU-04</t>
        </is>
      </c>
      <c r="B8" s="26" t="inlineStr">
        <is>
          <t>Como equipo, quiero un script semilla con al menos 5 registros por tabla para tener datos de prueba</t>
        </is>
      </c>
      <c r="C8" s="32" t="inlineStr">
        <is>
          <t>Técnica</t>
        </is>
      </c>
      <c r="D8" s="26" t="inlineStr">
        <is>
          <t>Base de datos</t>
        </is>
      </c>
      <c r="E8" s="32" t="inlineStr">
        <is>
          <t>Must</t>
        </is>
      </c>
      <c r="F8" s="33" t="n">
        <v>3</v>
      </c>
      <c r="G8" s="32" t="inlineStr">
        <is>
          <t>Sprint 0</t>
        </is>
      </c>
      <c r="H8" s="34" t="inlineStr">
        <is>
          <t>Hecho</t>
        </is>
      </c>
      <c r="I8" s="35" t="n">
        <v>46312</v>
      </c>
      <c r="J8" s="26" t="inlineStr">
        <is>
          <t>Modelo ER, Scripts SQL (5)</t>
        </is>
      </c>
      <c r="K8" s="26" t="inlineStr">
        <is>
          <t>≥5 registros por tabla; ninguna violación de FK ni de restricciones</t>
        </is>
      </c>
      <c r="L8" s="36" t="inlineStr">
        <is>
          <t>feature/HU-04-datos-semilla · PR #4</t>
        </is>
      </c>
      <c r="M8" s="36" t="inlineStr">
        <is>
          <t>Semillas de las 3 bases (≥5 por tabla, 610 asientos generados) + 36 verificaciones + setup-db.ps1 + estado BLOQUEADO. 106/106 PASS.</t>
        </is>
      </c>
    </row>
    <row r="9" ht="64.90000000000001" customHeight="1" s="21">
      <c r="A9" s="31" t="inlineStr">
        <is>
          <t>HU-05</t>
        </is>
      </c>
      <c r="B9" s="26" t="inlineStr">
        <is>
          <t>Como equipo, quiero un repositorio GitHub con carpetas backend y frontend para versionar el proyecto</t>
        </is>
      </c>
      <c r="C9" s="32" t="inlineStr">
        <is>
          <t>Técnica</t>
        </is>
      </c>
      <c r="D9" s="26" t="inlineStr">
        <is>
          <t>Repositorio</t>
        </is>
      </c>
      <c r="E9" s="32" t="inlineStr">
        <is>
          <t>Must</t>
        </is>
      </c>
      <c r="F9" s="33" t="n">
        <v>1</v>
      </c>
      <c r="G9" s="32" t="inlineStr">
        <is>
          <t>Sprint 1</t>
        </is>
      </c>
      <c r="H9" s="34" t="inlineStr">
        <is>
          <t>Hecho</t>
        </is>
      </c>
      <c r="I9" s="35" t="n">
        <v>46313</v>
      </c>
      <c r="J9" s="26" t="inlineStr">
        <is>
          <t>Entregable GitHub</t>
        </is>
      </c>
      <c r="K9" s="26" t="inlineStr">
        <is>
          <t>Repo creado con estructura backend/ y frontend/ y primer commit</t>
        </is>
      </c>
      <c r="L9" s="36" t="inlineStr">
        <is>
          <t>chore/HU-05-estructura-proyecto · PR #7</t>
        </is>
      </c>
      <c r="M9" s="36" t="inlineStr">
        <is>
          <t>backend/match-service (Spring Boot 4.1.1, Java 17, puerto 8082, conectado a match_db) y frontend/ (React + Vite, puerto 5173). Nombres en inglés: match-service, auth-service, reservation-service.</t>
        </is>
      </c>
    </row>
    <row r="10" ht="115.65" customHeight="1" s="21">
      <c r="A10" s="31" t="inlineStr">
        <is>
          <t>HU-06</t>
        </is>
      </c>
      <c r="B10" s="26" t="inlineStr">
        <is>
          <t>Como administrador, quiero registrar un escenario deportivo (nombre, descripción, ubicación, capacidad) para gestionar estadios</t>
        </is>
      </c>
      <c r="C10" s="32" t="inlineStr">
        <is>
          <t>Funcional</t>
        </is>
      </c>
      <c r="D10" s="26" t="inlineStr">
        <is>
          <t>MS Partidos</t>
        </is>
      </c>
      <c r="E10" s="32" t="inlineStr">
        <is>
          <t>Must</t>
        </is>
      </c>
      <c r="F10" s="33" t="n">
        <v>3</v>
      </c>
      <c r="G10" s="32" t="inlineStr">
        <is>
          <t>Sprint 1</t>
        </is>
      </c>
      <c r="H10" s="34" t="inlineStr">
        <is>
          <t>Hecho</t>
        </is>
      </c>
      <c r="I10" s="35" t="n">
        <v>46313</v>
      </c>
      <c r="J10" s="26" t="inlineStr">
        <is>
          <t>Microservicio de partidos (5)</t>
        </is>
      </c>
      <c r="K10" s="26" t="inlineStr">
        <is>
          <t>CRUD responde 201/200/404; capacidad positiva validada</t>
        </is>
      </c>
      <c r="L10" s="36" t="inlineStr">
        <is>
          <t>docs/HU-06-contrato-ms-partidos · PR #5 · feature/HU-06-crud-estadios · PR #8</t>
        </is>
      </c>
      <c r="M10" s="36" t="inlineStr">
        <is>
          <t>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is>
      </c>
    </row>
    <row r="11" ht="115.65" customHeight="1" s="21">
      <c r="A11" s="31" t="inlineStr">
        <is>
          <t>HU-07</t>
        </is>
      </c>
      <c r="B11" s="26" t="inlineStr">
        <is>
          <t>Como administrador, quiero registrar secciones (PALCOS, GENERAL, PREFERENCIA, TRIBUNAS), filas con letras y asientos para definir la distribución física</t>
        </is>
      </c>
      <c r="C11" s="32" t="inlineStr">
        <is>
          <t>Funcional</t>
        </is>
      </c>
      <c r="D11" s="26" t="inlineStr">
        <is>
          <t>MS Partidos</t>
        </is>
      </c>
      <c r="E11" s="32" t="inlineStr">
        <is>
          <t>Must</t>
        </is>
      </c>
      <c r="F11" s="33" t="n">
        <v>5</v>
      </c>
      <c r="G11" s="32" t="inlineStr">
        <is>
          <t>Sprint 1</t>
        </is>
      </c>
      <c r="H11" s="34" t="inlineStr">
        <is>
          <t>Hecho</t>
        </is>
      </c>
      <c r="I11" s="35" t="n">
        <v>46313</v>
      </c>
      <c r="J11" s="26" t="inlineStr">
        <is>
          <t>Microservicio de partidos (5)</t>
        </is>
      </c>
      <c r="K11" s="26" t="inlineStr">
        <is>
          <t>Tipo de sección fuera del catálogo → 400; filas A, B, C consecutivas; asientos generados por fila</t>
        </is>
      </c>
      <c r="L11" s="36" t="inlineStr">
        <is>
          <t>feature/HU-07-secciones · PR #9</t>
        </is>
      </c>
      <c r="M11" s="36" t="inlineStr">
        <is>
          <t>Entidades Section/SeatRow/Seat con relaciones y cascade. GET y POST de secciones: genera filas A..Z y asientos 1..N en una transacción. 400 tipo fuera de catálogo / rangos; 404; 409 nombre por estadio; 422 si supera la capacidad del estadio. Endpoint layout hecho en HU-38. 26-oct: se implementó la edición de nombre y descripción (PUT /sections/{id}) al detectar en Apidog que el contrato la documentaba sin implementación (404). Eliminar sección queda pendiente. Mejora: bloqueo pesimista para la regla de capacidad con concurrencia.</t>
        </is>
      </c>
    </row>
    <row r="12" ht="141" customHeight="1" s="21">
      <c r="A12" s="31" t="inlineStr">
        <is>
          <t>HU-08</t>
        </is>
      </c>
      <c r="B12" s="26" t="inlineStr">
        <is>
          <t>Como administrador, quiero registrar partidos (nombre, descripción, fecha, hora, estado, escenario) para publicarlos</t>
        </is>
      </c>
      <c r="C12" s="32" t="inlineStr">
        <is>
          <t>Funcional</t>
        </is>
      </c>
      <c r="D12" s="26" t="inlineStr">
        <is>
          <t>MS Partidos</t>
        </is>
      </c>
      <c r="E12" s="32" t="inlineStr">
        <is>
          <t>Must</t>
        </is>
      </c>
      <c r="F12" s="33" t="n">
        <v>3</v>
      </c>
      <c r="G12" s="32" t="inlineStr">
        <is>
          <t>Sprint 1</t>
        </is>
      </c>
      <c r="H12" s="34" t="inlineStr">
        <is>
          <t>Hecho</t>
        </is>
      </c>
      <c r="I12" s="35" t="n">
        <v>46314</v>
      </c>
      <c r="J12" s="26" t="inlineStr">
        <is>
          <t>Microservicio de partidos (5)</t>
        </is>
      </c>
      <c r="K12" s="26" t="inlineStr">
        <is>
          <t>Escenario inexistente → 404; fecha pasada rechazada</t>
        </is>
      </c>
      <c r="L12" s="36" t="inlineStr">
        <is>
          <t>feature/HU-08-partidos · PR #10</t>
        </is>
      </c>
      <c r="M12" s="36" t="inlineStr">
        <is>
          <t>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is>
      </c>
    </row>
    <row r="13" ht="102.95" customHeight="1" s="21">
      <c r="A13" s="31" t="inlineStr">
        <is>
          <t>HU-09</t>
        </is>
      </c>
      <c r="B13" s="26" t="inlineStr">
        <is>
          <t>Como cliente, quiero consultar partidos filtrando por fecha, nombre o estadio para encontrar el evento que busco</t>
        </is>
      </c>
      <c r="C13" s="32" t="inlineStr">
        <is>
          <t>Funcional</t>
        </is>
      </c>
      <c r="D13" s="26" t="inlineStr">
        <is>
          <t>MS Partidos</t>
        </is>
      </c>
      <c r="E13" s="32" t="inlineStr">
        <is>
          <t>Must</t>
        </is>
      </c>
      <c r="F13" s="33" t="n">
        <v>3</v>
      </c>
      <c r="G13" s="32" t="inlineStr">
        <is>
          <t>Sprint 1</t>
        </is>
      </c>
      <c r="H13" s="34" t="inlineStr">
        <is>
          <t>Hecho</t>
        </is>
      </c>
      <c r="I13" s="35" t="n">
        <v>46314</v>
      </c>
      <c r="J13" s="26" t="inlineStr">
        <is>
          <t>Consulta de partidos (2)</t>
        </is>
      </c>
      <c r="K13" s="26" t="inlineStr">
        <is>
          <t>Cada filtro funciona solo y combinado; sin resultados → lista vacía, no error</t>
        </is>
      </c>
      <c r="L13" s="36" t="inlineStr">
        <is>
          <t>feature/HU-09-catalogo-partidos · PR #11</t>
        </is>
      </c>
      <c r="M13" s="36" t="inlineStr">
        <is>
          <t>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is>
      </c>
    </row>
    <row r="14" ht="90.25" customHeight="1" s="21">
      <c r="A14" s="31" t="inlineStr">
        <is>
          <t>HU-10</t>
        </is>
      </c>
      <c r="B14" s="26" t="inlineStr">
        <is>
          <t>Como cliente, quiero registrarme y recibir por correo mi username y contraseña de primer acceso para validar mi cuenta</t>
        </is>
      </c>
      <c r="C14" s="32" t="inlineStr">
        <is>
          <t>Funcional</t>
        </is>
      </c>
      <c r="D14" s="26" t="inlineStr">
        <is>
          <t>MS Usuarios/Auth</t>
        </is>
      </c>
      <c r="E14" s="32" t="inlineStr">
        <is>
          <t>Must</t>
        </is>
      </c>
      <c r="F14" s="33" t="n">
        <v>5</v>
      </c>
      <c r="G14" s="32" t="inlineStr">
        <is>
          <t>Sprint 1</t>
        </is>
      </c>
      <c r="H14" s="34" t="inlineStr">
        <is>
          <t>Hecho</t>
        </is>
      </c>
      <c r="I14" s="35" t="n">
        <v>46315</v>
      </c>
      <c r="J14" s="26" t="inlineStr">
        <is>
          <t>Microservicio de autenticación (5)</t>
        </is>
      </c>
      <c r="K14" s="26" t="inlineStr">
        <is>
          <t>Correo inválido → 400; cédula/correo duplicado → 409; el correo llega con las credenciales</t>
        </is>
      </c>
      <c r="L14" s="36" t="inlineStr">
        <is>
          <t>feature/HU-14-swagger · PR de cierre del Sprint 1</t>
        </is>
      </c>
      <c r="M14" s="36" t="inlineStr">
        <is>
          <t>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is>
      </c>
    </row>
    <row r="15" ht="90.25" customHeight="1" s="21">
      <c r="A15" s="31" t="inlineStr">
        <is>
          <t>HU-11</t>
        </is>
      </c>
      <c r="B15" s="26" t="inlineStr">
        <is>
          <t>Como usuario, quiero iniciar sesión y obtener un token según mi rol para acceder a mis funcionalidades</t>
        </is>
      </c>
      <c r="C15" s="32" t="inlineStr">
        <is>
          <t>Funcional</t>
        </is>
      </c>
      <c r="D15" s="26" t="inlineStr">
        <is>
          <t>MS Usuarios/Auth</t>
        </is>
      </c>
      <c r="E15" s="32" t="inlineStr">
        <is>
          <t>Must</t>
        </is>
      </c>
      <c r="F15" s="33" t="n">
        <v>5</v>
      </c>
      <c r="G15" s="32" t="inlineStr">
        <is>
          <t>Sprint 1</t>
        </is>
      </c>
      <c r="H15" s="34" t="inlineStr">
        <is>
          <t>Hecho</t>
        </is>
      </c>
      <c r="I15" s="35" t="n">
        <v>46315</v>
      </c>
      <c r="J15" s="26" t="inlineStr">
        <is>
          <t>Microservicio de autenticación (5)</t>
        </is>
      </c>
      <c r="K15" s="26" t="inlineStr">
        <is>
          <t>Credenciales malas → 401 con mensaje genérico; usuario inactivo → 403; 5 intentos fallidos → BLOQUEADO 15 min (423); login exitoso reinicia el contador; token con rol y expiración</t>
        </is>
      </c>
      <c r="L15" s="36" t="inlineStr">
        <is>
          <t>feature/HU-14-swagger · PR de cierre del Sprint 1</t>
        </is>
      </c>
      <c r="M15" s="36" t="inlineStr">
        <is>
          <t>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is>
      </c>
    </row>
    <row r="16" ht="64.90000000000001" customHeight="1" s="21">
      <c r="A16" s="31" t="inlineStr">
        <is>
          <t>HU-12</t>
        </is>
      </c>
      <c r="B16" s="26" t="inlineStr">
        <is>
          <t>Como administrador, quiero gestionar usuarios y roles con estado ACTIVO/INACTIVO para controlar el acceso</t>
        </is>
      </c>
      <c r="C16" s="32" t="inlineStr">
        <is>
          <t>Funcional</t>
        </is>
      </c>
      <c r="D16" s="26" t="inlineStr">
        <is>
          <t>MS Usuarios/Auth</t>
        </is>
      </c>
      <c r="E16" s="32" t="inlineStr">
        <is>
          <t>Must</t>
        </is>
      </c>
      <c r="F16" s="33" t="n">
        <v>3</v>
      </c>
      <c r="G16" s="32" t="inlineStr">
        <is>
          <t>Sprint 1</t>
        </is>
      </c>
      <c r="H16" s="34" t="inlineStr">
        <is>
          <t>Hecho</t>
        </is>
      </c>
      <c r="I16" s="35" t="n">
        <v>46315</v>
      </c>
      <c r="J16" s="26" t="inlineStr">
        <is>
          <t>Microservicio de autenticación (5)</t>
        </is>
      </c>
      <c r="K16" s="26" t="inlineStr">
        <is>
          <t>Cliente llamando endpoint admin → 403; usuario desactivado no puede iniciar sesión</t>
        </is>
      </c>
      <c r="L16" s="36" t="inlineStr">
        <is>
          <t>feature/HU-14-swagger · PR de cierre del Sprint 1</t>
        </is>
      </c>
      <c r="M16" s="36" t="inlineStr">
        <is>
          <t>Solo ADMIN: listar usuarios y roles, activar/desactivar. ACTIVO desbloquea. No se asigna BLOQUEADO a mano, no se desactiva la propia cuenta ni el rol ADMIN (422). Roles en el JWT → 401/403.</t>
        </is>
      </c>
    </row>
    <row r="17" ht="39.55" customHeight="1" s="21">
      <c r="A17" s="31" t="inlineStr">
        <is>
          <t>HU-13</t>
        </is>
      </c>
      <c r="B17" s="26" t="inlineStr">
        <is>
          <t>Como equipo, quiero contraseñas con hash BCrypt y DTOs validados para cumplir la seguridad pedida (CID/AAA)</t>
        </is>
      </c>
      <c r="C17" s="32" t="inlineStr">
        <is>
          <t>Técnica</t>
        </is>
      </c>
      <c r="D17" s="26" t="inlineStr">
        <is>
          <t>MS Usuarios/Auth</t>
        </is>
      </c>
      <c r="E17" s="32" t="inlineStr">
        <is>
          <t>Must</t>
        </is>
      </c>
      <c r="F17" s="33" t="n">
        <v>2</v>
      </c>
      <c r="G17" s="32" t="inlineStr">
        <is>
          <t>Sprint 1</t>
        </is>
      </c>
      <c r="H17" s="34" t="inlineStr">
        <is>
          <t>Hecho</t>
        </is>
      </c>
      <c r="I17" s="35" t="n">
        <v>46315</v>
      </c>
      <c r="J17" s="26" t="inlineStr">
        <is>
          <t>Microservicio de autenticación (5)</t>
        </is>
      </c>
      <c r="K17" s="26" t="inlineStr">
        <is>
          <t>Ninguna contraseña en texto plano en BD; campos obligatorios vacíos → 400</t>
        </is>
      </c>
      <c r="L17" s="36" t="inlineStr">
        <is>
          <t>feature/HU-14-swagger · PR de cierre del Sprint 1</t>
        </is>
      </c>
      <c r="M17" s="36" t="inlineStr">
        <is>
          <t>Contraseñas solo como hash BCrypt ($2a$10$). DTOs validados con lista errors (400), mensajes en español.</t>
        </is>
      </c>
    </row>
    <row r="18" ht="52.2" customHeight="1" s="21">
      <c r="A18" s="31" t="inlineStr">
        <is>
          <t>HU-14</t>
        </is>
      </c>
      <c r="B18" s="26" t="inlineStr">
        <is>
          <t>Como equipo, quiero Swagger/OpenAPI en Partidos y Auth para documentar las APIs</t>
        </is>
      </c>
      <c r="C18" s="32" t="inlineStr">
        <is>
          <t>Técnica</t>
        </is>
      </c>
      <c r="D18" s="26" t="inlineStr">
        <is>
          <t>Documentación</t>
        </is>
      </c>
      <c r="E18" s="32" t="inlineStr">
        <is>
          <t>Must</t>
        </is>
      </c>
      <c r="F18" s="33" t="n">
        <v>1</v>
      </c>
      <c r="G18" s="32" t="inlineStr">
        <is>
          <t>Sprint 1</t>
        </is>
      </c>
      <c r="H18" s="34" t="inlineStr">
        <is>
          <t>Hecho</t>
        </is>
      </c>
      <c r="I18" s="35" t="n">
        <v>46315</v>
      </c>
      <c r="J18" s="26" t="inlineStr">
        <is>
          <t>Entregable Backend</t>
        </is>
      </c>
      <c r="K18" s="26" t="inlineStr">
        <is>
          <t>/swagger-ui accesible en ambos servicios</t>
        </is>
      </c>
      <c r="L18" s="36" t="inlineStr">
        <is>
          <t>feature/HU-14-swagger · PR de cierre del Sprint 1</t>
        </is>
      </c>
      <c r="M18" s="36" t="inlineStr">
        <is>
          <t>Swagger en match-service (8082) y auth-service (8081, con botón Authorize). Contrato docs/apis/auth-service.openapi.yaml para Apidog.</t>
        </is>
      </c>
    </row>
    <row r="19" ht="115.65" customHeight="1" s="21">
      <c r="A19" s="31" t="inlineStr">
        <is>
          <t>HU-15</t>
        </is>
      </c>
      <c r="B19" s="26" t="inlineStr">
        <is>
          <t>Como cliente, quiero ver la disponibilidad de asientos de un partido para elegir dónde sentarme</t>
        </is>
      </c>
      <c r="C19" s="32" t="inlineStr">
        <is>
          <t>Funcional</t>
        </is>
      </c>
      <c r="D19" s="26" t="inlineStr">
        <is>
          <t>MS Reservas</t>
        </is>
      </c>
      <c r="E19" s="32" t="inlineStr">
        <is>
          <t>Must</t>
        </is>
      </c>
      <c r="F19" s="33" t="n">
        <v>3</v>
      </c>
      <c r="G19" s="32" t="inlineStr">
        <is>
          <t>Sprint 2</t>
        </is>
      </c>
      <c r="H19" s="34" t="inlineStr">
        <is>
          <t>Hecho</t>
        </is>
      </c>
      <c r="I19" s="35" t="n">
        <v>46316</v>
      </c>
      <c r="J19" s="26" t="inlineStr">
        <is>
          <t>Realizar reserva (4)</t>
        </is>
      </c>
      <c r="K19" s="26" t="inlineStr">
        <is>
          <t>Asiento reservado aparece ocupado para ese partido y libre para otro partido</t>
        </is>
      </c>
      <c r="L19" s="36" t="inlineStr">
        <is>
          <t>feature/HU-22-reservation-service · PR #14 y #15</t>
        </is>
      </c>
      <c r="M19" s="36" t="inlineStr">
        <is>
          <t>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is>
      </c>
    </row>
    <row r="20" ht="179.1" customHeight="1" s="21">
      <c r="A20" s="31" t="inlineStr">
        <is>
          <t>HU-16</t>
        </is>
      </c>
      <c r="B20" s="26" t="inlineStr">
        <is>
          <t>Como cliente, quiero reservar hasta 6 asientos por partido para asistir con acompañantes</t>
        </is>
      </c>
      <c r="C20" s="32" t="inlineStr">
        <is>
          <t>Funcional</t>
        </is>
      </c>
      <c r="D20" s="26" t="inlineStr">
        <is>
          <t>MS Reservas</t>
        </is>
      </c>
      <c r="E20" s="32" t="inlineStr">
        <is>
          <t>Must</t>
        </is>
      </c>
      <c r="F20" s="33" t="n">
        <v>8</v>
      </c>
      <c r="G20" s="32" t="inlineStr">
        <is>
          <t>Sprint 2</t>
        </is>
      </c>
      <c r="H20" s="34" t="inlineStr">
        <is>
          <t>Hecho</t>
        </is>
      </c>
      <c r="I20" s="35" t="n">
        <v>46316</v>
      </c>
      <c r="J20" s="26" t="inlineStr">
        <is>
          <t>Microservicio de reservas (5)</t>
        </is>
      </c>
      <c r="K20" s="26" t="inlineStr">
        <is>
          <t>7.ª entrada → 422; asiento ocupado → 409; dos reservas simultáneas del mismo asiento → solo una gana; máximo leído de Parámetro</t>
        </is>
      </c>
      <c r="L20" s="36" t="inlineStr">
        <is>
          <t>feature/HU-22-reservation-service · PR #14 y #15</t>
        </is>
      </c>
      <c r="M20" s="36" t="inlineStr">
        <is>
          <t>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is>
      </c>
    </row>
    <row r="21" ht="166.4" customHeight="1" s="21">
      <c r="A21" s="31" t="inlineStr">
        <is>
          <t>HU-17</t>
        </is>
      </c>
      <c r="B21" s="26" t="inlineStr">
        <is>
          <t>Como sistema, quiero liberar los asientos de reservas no confirmadas a tiempo para que vuelvan a estar disponibles</t>
        </is>
      </c>
      <c r="C21" s="32" t="inlineStr">
        <is>
          <t>Funcional</t>
        </is>
      </c>
      <c r="D21" s="26" t="inlineStr">
        <is>
          <t>MS Reservas</t>
        </is>
      </c>
      <c r="E21" s="32" t="inlineStr">
        <is>
          <t>Must</t>
        </is>
      </c>
      <c r="F21" s="33" t="n">
        <v>5</v>
      </c>
      <c r="G21" s="32" t="inlineStr">
        <is>
          <t>Sprint 2</t>
        </is>
      </c>
      <c r="H21" s="34" t="inlineStr">
        <is>
          <t>Hecho</t>
        </is>
      </c>
      <c r="I21" s="35" t="n">
        <v>46316</v>
      </c>
      <c r="J21" s="26" t="inlineStr">
        <is>
          <t>Microservicio de reservas (5)</t>
        </is>
      </c>
      <c r="K21" s="26" t="inlineStr">
        <is>
          <t>Reserva pendiente pasado el tiempo del parámetro → EXPIRADA y asientos libres</t>
        </is>
      </c>
      <c r="L21" s="36" t="inlineStr">
        <is>
          <t>feature/HU-17-expiracion-automatica · PR #16</t>
        </is>
      </c>
      <c r="M21" s="36" t="inlineStr">
        <is>
          <t>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is>
      </c>
    </row>
    <row r="22" ht="191.75" customHeight="1" s="21">
      <c r="A22" s="31" t="inlineStr">
        <is>
          <t>HU-18</t>
        </is>
      </c>
      <c r="B22" s="26" t="inlineStr">
        <is>
          <t>Como cliente, quiero un ticket electrónico con QR único por cada entrada para ingresar al estadio</t>
        </is>
      </c>
      <c r="C22" s="32" t="inlineStr">
        <is>
          <t>Funcional</t>
        </is>
      </c>
      <c r="D22" s="26" t="inlineStr">
        <is>
          <t>MS Reservas</t>
        </is>
      </c>
      <c r="E22" s="32" t="inlineStr">
        <is>
          <t>Must</t>
        </is>
      </c>
      <c r="F22" s="33" t="n">
        <v>5</v>
      </c>
      <c r="G22" s="32" t="inlineStr">
        <is>
          <t>Sprint 2</t>
        </is>
      </c>
      <c r="H22" s="34" t="inlineStr">
        <is>
          <t>Hecho</t>
        </is>
      </c>
      <c r="I22" s="35" t="n">
        <v>46316</v>
      </c>
      <c r="J22" s="26" t="inlineStr">
        <is>
          <t>Código QR (2)</t>
        </is>
      </c>
      <c r="K22" s="26" t="inlineStr">
        <is>
          <t>1 ticket por asiento; código QR no secuencial ni repetido</t>
        </is>
      </c>
      <c r="L22" s="36" t="inlineStr">
        <is>
          <t>feature/HU-22-reservation-service · PR #14 y #15</t>
        </is>
      </c>
      <c r="M22" s="36" t="inlineStr">
        <is>
          <t>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is>
      </c>
    </row>
    <row r="23" ht="191.75" customHeight="1" s="21">
      <c r="A23" s="31" t="inlineStr">
        <is>
          <t>HU-19</t>
        </is>
      </c>
      <c r="B23" s="26" t="inlineStr">
        <is>
          <t>Como cliente o administrador, quiero cancelar reservas activas no expiradas ni utilizadas para liberar asientos</t>
        </is>
      </c>
      <c r="C23" s="32" t="inlineStr">
        <is>
          <t>Funcional</t>
        </is>
      </c>
      <c r="D23" s="26" t="inlineStr">
        <is>
          <t>MS Reservas</t>
        </is>
      </c>
      <c r="E23" s="32" t="inlineStr">
        <is>
          <t>Must</t>
        </is>
      </c>
      <c r="F23" s="33" t="n">
        <v>3</v>
      </c>
      <c r="G23" s="32" t="inlineStr">
        <is>
          <t>Sprint 2</t>
        </is>
      </c>
      <c r="H23" s="34" t="inlineStr">
        <is>
          <t>Hecho</t>
        </is>
      </c>
      <c r="I23" s="35" t="n">
        <v>46316</v>
      </c>
      <c r="J23" s="26" t="inlineStr">
        <is>
          <t>Realizar reserva (4)</t>
        </is>
      </c>
      <c r="K23" s="26" t="inlineStr">
        <is>
          <t>Cancelar reserva EXPIRADA o UTILIZADA → 409; reserva ajena → 404 (no revela que existe, igual que consultar y confirmar)</t>
        </is>
      </c>
      <c r="L23" s="36" t="inlineStr">
        <is>
          <t>feature/HU-19-cancelar-reserva · PR #17</t>
        </is>
      </c>
      <c r="M23" s="36" t="inlineStr">
        <is>
          <t>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is>
      </c>
    </row>
    <row r="24" ht="267.9" customHeight="1" s="21">
      <c r="A24" s="31" t="inlineStr">
        <is>
          <t>HU-20</t>
        </is>
      </c>
      <c r="B24" s="26" t="inlineStr">
        <is>
          <t>Como cliente, quiero un reporte "Mis reservas" con historial, tickets y estado, descargable en PDF</t>
        </is>
      </c>
      <c r="C24" s="32" t="inlineStr">
        <is>
          <t>Funcional</t>
        </is>
      </c>
      <c r="D24" s="26" t="inlineStr">
        <is>
          <t>MS Reservas</t>
        </is>
      </c>
      <c r="E24" s="32" t="inlineStr">
        <is>
          <t>Must</t>
        </is>
      </c>
      <c r="F24" s="33" t="n">
        <v>5</v>
      </c>
      <c r="G24" s="32" t="inlineStr">
        <is>
          <t>Sprint 2</t>
        </is>
      </c>
      <c r="H24" s="34" t="inlineStr">
        <is>
          <t>Hecho</t>
        </is>
      </c>
      <c r="I24" s="35" t="n">
        <v>46317</v>
      </c>
      <c r="J24" s="26" t="inlineStr">
        <is>
          <t>Implementación aplicación web (10)</t>
        </is>
      </c>
      <c r="K24" s="26" t="inlineStr">
        <is>
          <t>Solo muestra reservas propias; PDF se genera y abre</t>
        </is>
      </c>
      <c r="L24" s="36" t="inlineStr">
        <is>
          <t>feature/HU-20-mis-reservas-pdf · PR #18 · feature/HU-20-mis-reservas-frontend · PR #29</t>
        </is>
      </c>
      <c r="M24" s="36" t="inlineStr">
        <is>
          <t>Front (PR #29, 23-oct): pantalla /reservas con filtros Activas/Historial/Todas (en el cliente), PENDIENTE vencida mostrada como EXPIRADA, descarga del PDF, estado vacío y "Partido #id" si match-service cae. Back: 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is>
      </c>
    </row>
    <row r="25" ht="217.15" customHeight="1" s="21">
      <c r="A25" s="31" t="inlineStr">
        <is>
          <t>HU-21</t>
        </is>
      </c>
      <c r="B25" s="26" t="inlineStr">
        <is>
          <t>Como administrador, quiero un reporte consolidado con filtros (fechas, partido, estado) e indicadores de ocupación, en PDF</t>
        </is>
      </c>
      <c r="C25" s="32" t="inlineStr">
        <is>
          <t>Funcional</t>
        </is>
      </c>
      <c r="D25" s="26" t="inlineStr">
        <is>
          <t>MS Reservas</t>
        </is>
      </c>
      <c r="E25" s="32" t="inlineStr">
        <is>
          <t>Must</t>
        </is>
      </c>
      <c r="F25" s="33" t="n">
        <v>5</v>
      </c>
      <c r="G25" s="32" t="inlineStr">
        <is>
          <t>Sprint 2</t>
        </is>
      </c>
      <c r="H25" s="34" t="inlineStr">
        <is>
          <t>Hecho</t>
        </is>
      </c>
      <c r="I25" s="35" t="n">
        <v>46317</v>
      </c>
      <c r="J25" s="26" t="inlineStr">
        <is>
          <t>Implementación aplicación web (10)</t>
        </is>
      </c>
      <c r="K25" s="26" t="inlineStr">
        <is>
          <t>Ocupación por partido y por sección calculada correctamente; filtros combinables</t>
        </is>
      </c>
      <c r="L25" s="36" t="inlineStr">
        <is>
          <t>feature/HU-21-reporte-admin · PR #20</t>
        </is>
      </c>
      <c r="M25" s="36" t="inlineStr">
        <is>
          <t>GET /reports/reservations (JSON) y /reports/reservations/pdf: filtros opcionales y combinables (fecha de la reserva, partido, estado). Resumen por estado (todos, aunque sean 0), entradas vendidas y anuladas. Ocupación actual por partido y sección: reservas envía los asientos vendidos y match-service los cuenta con GROUP BY (endpoint interno nuevo; la lógica va donde están los datos). Capacidad = suma de secciones. Valor límite: "hasta" incluye el día completo (&lt; día siguiente 00:00). from &gt; to → 422. PDF horizontal con tarjetas y barras de ocupación (tabla de 2 celdas; casos 0 % y 100 %), tonos azules por nivel. JSON y PDF salen de la misma función (consistencia). Sin match-service → reporte con ocupación no disponible.</t>
        </is>
      </c>
    </row>
    <row r="26" ht="141" customHeight="1" s="21">
      <c r="A26" s="31" t="inlineStr">
        <is>
          <t>HU-22</t>
        </is>
      </c>
      <c r="B26" s="26" t="inlineStr">
        <is>
          <t>Como equipo, quiero que Reservas consulte a Partidos y valide el token por REST para mantener la integridad entre servicios</t>
        </is>
      </c>
      <c r="C26" s="32" t="inlineStr">
        <is>
          <t>Técnica</t>
        </is>
      </c>
      <c r="D26" s="26" t="inlineStr">
        <is>
          <t>Integración</t>
        </is>
      </c>
      <c r="E26" s="32" t="inlineStr">
        <is>
          <t>Must</t>
        </is>
      </c>
      <c r="F26" s="33" t="n">
        <v>3</v>
      </c>
      <c r="G26" s="32" t="inlineStr">
        <is>
          <t>Sprint 2</t>
        </is>
      </c>
      <c r="H26" s="34" t="inlineStr">
        <is>
          <t>Hecho</t>
        </is>
      </c>
      <c r="I26" s="35" t="n">
        <v>46316</v>
      </c>
      <c r="J26" s="26" t="inlineStr">
        <is>
          <t>Comunicación entre microservicios</t>
        </is>
      </c>
      <c r="K26" s="26" t="inlineStr">
        <is>
          <t>Asiento inexistente en Partidos → 404 desde Reservas; Partidos caído → error controlado</t>
        </is>
      </c>
      <c r="L26" s="36" t="inlineStr">
        <is>
          <t>feature/HU-22-reservation-service · PR #14 y #15</t>
        </is>
      </c>
      <c r="M26" s="36" t="inlineStr">
        <is>
          <t>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is>
      </c>
    </row>
    <row r="27" ht="217.15" customHeight="1" s="21">
      <c r="A27" s="31" t="inlineStr">
        <is>
          <t>HU-23</t>
        </is>
      </c>
      <c r="B27" s="26" t="inlineStr">
        <is>
          <t>Como usuario, quiero pantallas de inicio de sesión y registro para acceder al sistema</t>
        </is>
      </c>
      <c r="C27" s="32" t="inlineStr">
        <is>
          <t>Funcional</t>
        </is>
      </c>
      <c r="D27" s="26" t="inlineStr">
        <is>
          <t>Frontend</t>
        </is>
      </c>
      <c r="E27" s="32" t="inlineStr">
        <is>
          <t>Must</t>
        </is>
      </c>
      <c r="F27" s="33" t="n">
        <v>3</v>
      </c>
      <c r="G27" s="32" t="inlineStr">
        <is>
          <t>Sprint 3</t>
        </is>
      </c>
      <c r="H27" s="34" t="inlineStr">
        <is>
          <t>Hecho</t>
        </is>
      </c>
      <c r="I27" s="35" t="n">
        <v>46318</v>
      </c>
      <c r="J27" s="26" t="inlineStr">
        <is>
          <t>Acceso a la aplicación web (2)</t>
        </is>
      </c>
      <c r="K27" s="26" t="inlineStr">
        <is>
          <t>Mensajes de error claros; tras login redirige según rol</t>
        </is>
      </c>
      <c r="L27" s="36" t="inlineStr">
        <is>
          <t>feature/HU-23-login · PR #25</t>
        </is>
      </c>
      <c r="M27" s="36" t="inlineStr">
        <is>
          <t>Proxy de Vite (/auth-api, /match-api, /reservation-api → 8081/8082/8083): sin CORS, API Gateway en pequeño. http.js como única puerta: token, Problem Details (detail + errores por campo), 401 → cierra la sesión, filtros vacíos no se envían, login y registro sin token. Token en sessionStorage (sin cookies: CSRF sigue sin aplicar; defensa XSS: React escapa, sin dangerouslySetInnerHTML). Login redirige por rol y al cambio de contraseña en el primer acceso. Registro con errores del backend bajo cada campo (la cédula la valida solo el backend). Hallazgos: archivo con mayúscula distinta (loginPage/LoginPage), App.jsx sin rutas en el commit; riesgo abierto: mustChangePassword lo exige el front, no el backend.</t>
        </is>
      </c>
    </row>
    <row r="28" ht="141" customHeight="1" s="21">
      <c r="A28" s="31" t="inlineStr">
        <is>
          <t>HU-24</t>
        </is>
      </c>
      <c r="B28" s="26" t="inlineStr">
        <is>
          <t>Como cliente, quiero un catálogo de partidos con búsqueda por fecha para elegir un evento</t>
        </is>
      </c>
      <c r="C28" s="32" t="inlineStr">
        <is>
          <t>Funcional</t>
        </is>
      </c>
      <c r="D28" s="26" t="inlineStr">
        <is>
          <t>Frontend</t>
        </is>
      </c>
      <c r="E28" s="32" t="inlineStr">
        <is>
          <t>Must</t>
        </is>
      </c>
      <c r="F28" s="33" t="n">
        <v>3</v>
      </c>
      <c r="G28" s="32" t="inlineStr">
        <is>
          <t>Sprint 3</t>
        </is>
      </c>
      <c r="H28" s="34" t="inlineStr">
        <is>
          <t>Hecho</t>
        </is>
      </c>
      <c r="I28" s="35" t="n">
        <v>46318</v>
      </c>
      <c r="J28" s="26" t="inlineStr">
        <is>
          <t>Consulta de partidos (2)</t>
        </is>
      </c>
      <c r="K28" s="26" t="inlineStr">
        <is>
          <t>Búsqueda por fecha funciona; muestra estadio, fecha y hora</t>
        </is>
      </c>
      <c r="L28" s="36" t="inlineStr">
        <is>
          <t>feature/HU-24-catalogo · PR #27</t>
        </is>
      </c>
      <c r="M28" s="36" t="inlineStr">
        <is>
          <t>Catálogo público en /: por defecto PROGRAMADO desde hoy; búsqueda por fecha y por equipo (mínimo 2 letras, validado antes de llamar). Endpoints públicos sin token (un token vencido no causa 401). Respuestas viejas ignoradas (race condition). Fechas con Intl es-EC armadas en hora local (new Date("AAAA-MM-DD") las corre un día por UTC). Cuatro estados: cargando, error, vacío y con datos. Bug: rutas nuevas fuera del Layout y "/" duplicada → seguía la página vieja.</t>
        </is>
      </c>
    </row>
    <row r="29" ht="191.75" customHeight="1" s="21">
      <c r="A29" s="31" t="inlineStr">
        <is>
          <t>HU-25</t>
        </is>
      </c>
      <c r="B29" s="26" t="inlineStr">
        <is>
          <t>Como cliente, quiero un mapa gráfico de asientos por sección y fila con disponibilidad en tiempo real para elegir mis asientos</t>
        </is>
      </c>
      <c r="C29" s="32" t="inlineStr">
        <is>
          <t>Funcional</t>
        </is>
      </c>
      <c r="D29" s="26" t="inlineStr">
        <is>
          <t>Frontend</t>
        </is>
      </c>
      <c r="E29" s="32" t="inlineStr">
        <is>
          <t>Must</t>
        </is>
      </c>
      <c r="F29" s="33" t="n">
        <v>8</v>
      </c>
      <c r="G29" s="32" t="inlineStr">
        <is>
          <t>Sprint 3</t>
        </is>
      </c>
      <c r="H29" s="34" t="inlineStr">
        <is>
          <t>Hecho</t>
        </is>
      </c>
      <c r="I29" s="35" t="n">
        <v>46318</v>
      </c>
      <c r="J29" s="26" t="inlineStr">
        <is>
          <t>Usabilidad y experiencia de usuario (5)</t>
        </is>
      </c>
      <c r="K29" s="26" t="inlineStr">
        <is>
          <t>Colores libre/ocupado/seleccionado con leyenda; se actualiza sin recargar; no deja elegir más de 6</t>
        </is>
      </c>
      <c r="L29" s="36" t="inlineStr">
        <is>
          <t>feature/HU-25-mapa-asientos · PR #28</t>
        </is>
      </c>
      <c r="M29" s="36" t="inlineStr">
        <is>
          <t>Plano SVG del estadio (lienzo cuadrado: cancha vertical con áreas, arcos y pista; secciones en sus recuadros con nombre ajustado a 1-2 líneas) y grilla de asientos orientada hacia la cancha (la fila A siempre pegada a la cancha, CSS Grid). Estructura una vez + disponibilidad cada refreshSeconds, pausada si la pestaña no está visible (usePolling, sin fugas). Índice seatId → asiento. Si otro cliente toma un asiento elegido, se quita de la selección y se avisa. Disponibilidad pública en el backend (solo ids). Accesible con teclado y sin depender solo del color. Bugs: archivos editados en otra carpeta / zip fuera del proyecto; CSS y JSX de versiones distintas.</t>
        </is>
      </c>
    </row>
    <row r="30" ht="166.4" customHeight="1" s="21">
      <c r="A30" s="31" t="inlineStr">
        <is>
          <t>HU-26</t>
        </is>
      </c>
      <c r="B30" s="26" t="inlineStr">
        <is>
          <t>Como cliente, quiero un formulario de confirmación de reserva (máximo 6) para cerrar mi compra</t>
        </is>
      </c>
      <c r="C30" s="32" t="inlineStr">
        <is>
          <t>Funcional</t>
        </is>
      </c>
      <c r="D30" s="26" t="inlineStr">
        <is>
          <t>Frontend</t>
        </is>
      </c>
      <c r="E30" s="32" t="inlineStr">
        <is>
          <t>Must</t>
        </is>
      </c>
      <c r="F30" s="33" t="n">
        <v>3</v>
      </c>
      <c r="G30" s="32" t="inlineStr">
        <is>
          <t>Sprint 3</t>
        </is>
      </c>
      <c r="H30" s="34" t="inlineStr">
        <is>
          <t>Hecho</t>
        </is>
      </c>
      <c r="I30" s="35" t="n">
        <v>46318</v>
      </c>
      <c r="J30" s="26" t="inlineStr">
        <is>
          <t>Realizar reserva (4)</t>
        </is>
      </c>
      <c r="K30" s="26" t="inlineStr">
        <is>
          <t>Resumen antes de confirmar; error 409/422 mostrado en lenguaje claro</t>
        </is>
      </c>
      <c r="L30" s="36" t="inlineStr">
        <is>
          <t>feature/HU-25-mapa-asientos · PR #28</t>
        </is>
      </c>
      <c r="M30" s="36" t="inlineStr">
        <is>
          <t>Reservar desde el mapa (botón desactivado mientras responde; 409 recarga la disponibilidad) y pantalla de la reserva con cuenta regresiva: la hora sin zona del backend se interpreta con -05:00 (Ecuador no tiene horario de verano), así funciona en cualquier zona horaria; ámbar en el último minuto y aviso al vencer. Confirmar y cancelar en dos pasos (botón secundario rojo). Hallazgo: commit mal etiquetado con archivos Java copiados dentro de frontend/src (eliminados y documentado en el PR). Mejora futura: cancelar por asiento (HU-36).</t>
        </is>
      </c>
    </row>
    <row r="31" ht="77.59999999999999" customHeight="1" s="21">
      <c r="A31" s="31" t="inlineStr">
        <is>
          <t>HU-27</t>
        </is>
      </c>
      <c r="B31" s="26" t="inlineStr">
        <is>
          <t>Como cliente, quiero ver mi boleto electrónico con código QR para presentarlo en el ingreso</t>
        </is>
      </c>
      <c r="C31" s="32" t="inlineStr">
        <is>
          <t>Funcional</t>
        </is>
      </c>
      <c r="D31" s="26" t="inlineStr">
        <is>
          <t>Frontend</t>
        </is>
      </c>
      <c r="E31" s="32" t="inlineStr">
        <is>
          <t>Must</t>
        </is>
      </c>
      <c r="F31" s="33" t="n">
        <v>2</v>
      </c>
      <c r="G31" s="32" t="inlineStr">
        <is>
          <t>Sprint 3</t>
        </is>
      </c>
      <c r="H31" s="34" t="inlineStr">
        <is>
          <t>Hecho</t>
        </is>
      </c>
      <c r="I31" s="35" t="n">
        <v>46318</v>
      </c>
      <c r="J31" s="26" t="inlineStr">
        <is>
          <t>Código QR (2)</t>
        </is>
      </c>
      <c r="K31" s="26" t="inlineStr">
        <is>
          <t>QR visible y legible por un lector de celular</t>
        </is>
      </c>
      <c r="L31" s="36" t="inlineStr">
        <is>
          <t>feature/HU-25-mapa-asientos · PR #28</t>
        </is>
      </c>
      <c r="M31" s="36" t="inlineStr">
        <is>
          <t>Entradas con su QR en pantalla: la imagen requiere token, así que se descarga como Blob y se muestra con una URL temporal que se libera al salir (sin fugas de memoria). Descarga del PDF de entradas. Tickets anulados sin QR. QR escaneado con el celular.</t>
        </is>
      </c>
    </row>
    <row r="32" ht="255.2" customHeight="1" s="21">
      <c r="A32" s="31" t="inlineStr">
        <is>
          <t>HU-28</t>
        </is>
      </c>
      <c r="B32" s="26" t="inlineStr">
        <is>
          <t>Como administrador, quiero pantallas de usuarios/roles, estadios, partidos, reservas por evento y reporte general</t>
        </is>
      </c>
      <c r="C32" s="32" t="inlineStr">
        <is>
          <t>Funcional</t>
        </is>
      </c>
      <c r="D32" s="26" t="inlineStr">
        <is>
          <t>Frontend</t>
        </is>
      </c>
      <c r="E32" s="32" t="inlineStr">
        <is>
          <t>Must</t>
        </is>
      </c>
      <c r="F32" s="33" t="n">
        <v>5</v>
      </c>
      <c r="G32" s="32" t="inlineStr">
        <is>
          <t>Sprint 3</t>
        </is>
      </c>
      <c r="H32" s="34" t="inlineStr">
        <is>
          <t>Hecho</t>
        </is>
      </c>
      <c r="I32" s="35" t="n">
        <v>46318</v>
      </c>
      <c r="J32" s="26" t="inlineStr">
        <is>
          <t>Consumo de microservicios desde la interfaz (5)</t>
        </is>
      </c>
      <c r="K32" s="26" t="inlineStr">
        <is>
          <t>Cada pantalla consume su microservicio; operaciones CRUD visibles</t>
        </is>
      </c>
      <c r="L32" s="36" t="inlineStr">
        <is>
          <t>feature/HU-28-admin-estadios · PR #30</t>
        </is>
      </c>
      <c r="M32" s="36" t="inlineStr">
        <is>
          <t>Panel del admin completo: estadios (CRUD, 409 si tiene secciones o partidos) y secciones con plano (vista previa en el mapa reutilizando StadiumMap, mismas reglas que el backend: límites, cancha, superposición); partidos con máquina de estados (solo botones válidos, confirmación en finalizar/cancelar, estadio fijo al editar); usuarios y roles (activar, desactivar, desbloquear; no se desactiva a sí mismo ni a ADMIN); reportes (KPIs, ocupación por partido y sección, PDF con los mismos filtros) y reservas por evento con cancelación por el admin (clientId solo en DTO de admin). Hallazgos de QA al probar: nombres únicos ignoraban tildes (índice con name_key + unaccent), registro con rol CLIENTE inactivo daba 500 (ahora 422), secciones grandes ilegibles (bloques), semillas con tamaños reales (8 460 asientos por estadio). Limitación: desactivar no corta un JWT vigente (60 min).</t>
        </is>
      </c>
    </row>
    <row r="33" ht="153.7" customHeight="1" s="21">
      <c r="A33" s="31" t="inlineStr">
        <is>
          <t>HU-29</t>
        </is>
      </c>
      <c r="B33" s="26" t="inlineStr">
        <is>
          <t>Como usuario, quiero ver solo las opciones de mi rol para no acceder a funciones ajenas</t>
        </is>
      </c>
      <c r="C33" s="32" t="inlineStr">
        <is>
          <t>Funcional</t>
        </is>
      </c>
      <c r="D33" s="26" t="inlineStr">
        <is>
          <t>Frontend</t>
        </is>
      </c>
      <c r="E33" s="32" t="inlineStr">
        <is>
          <t>Must</t>
        </is>
      </c>
      <c r="F33" s="33" t="n">
        <v>2</v>
      </c>
      <c r="G33" s="32" t="inlineStr">
        <is>
          <t>Sprint 3</t>
        </is>
      </c>
      <c r="H33" s="34" t="inlineStr">
        <is>
          <t>Hecho</t>
        </is>
      </c>
      <c r="I33" s="35" t="n">
        <v>46318</v>
      </c>
      <c r="J33" s="26" t="inlineStr">
        <is>
          <t>Acceso a la aplicación web (2)</t>
        </is>
      </c>
      <c r="K33" s="26" t="inlineStr">
        <is>
          <t>Cliente no ve menú admin; URL admin sin permiso redirige</t>
        </is>
      </c>
      <c r="L33" s="36" t="inlineStr">
        <is>
          <t>feature/HU-29-menu-por-rol · PR #26</t>
        </is>
      </c>
      <c r="M33" s="36" t="inlineStr">
        <is>
          <t>Menú según el rol (público, CLIENTE, ADMIN) y rutas agrupadas con ProtectedRoute + &lt;Outlet/&gt;: sin sesión → login y vuelve a la página pedida; rol ajeno → acceso denegado; mustChangePassword → siempre al cambio de contraseña (en el Layout). Aviso de sesión vencida tras un 401. No es seguridad (el backend responde 401/403): defensa en profundidad comprobada en Apidog. Menú del usuario con &lt;details&gt; nativo. Bugs: CSS del navbar no aplicado; el menú quedaba abierto al navegar (useRef).</t>
        </is>
      </c>
    </row>
    <row r="34" ht="26.85" customHeight="1" s="21">
      <c r="A34" s="31" t="inlineStr">
        <is>
          <t>HU-30</t>
        </is>
      </c>
      <c r="B34" s="26" t="inlineStr">
        <is>
          <t>Como QA, quiero pruebas E2E en Apidog de las reglas de negocio para demostrar que el sistema funciona</t>
        </is>
      </c>
      <c r="C34" s="32" t="inlineStr">
        <is>
          <t>Técnica</t>
        </is>
      </c>
      <c r="D34" s="26" t="inlineStr">
        <is>
          <t>Calidad</t>
        </is>
      </c>
      <c r="E34" s="32" t="inlineStr">
        <is>
          <t>Should</t>
        </is>
      </c>
      <c r="F34" s="33" t="n">
        <v>3</v>
      </c>
      <c r="G34" s="32" t="inlineStr">
        <is>
          <t>Sprint 4</t>
        </is>
      </c>
      <c r="H34" s="34" t="inlineStr">
        <is>
          <t>En curso</t>
        </is>
      </c>
      <c r="I34" s="35" t="n"/>
      <c r="J34" s="26" t="inlineStr">
        <is>
          <t>Defensa</t>
        </is>
      </c>
      <c r="K34" s="26" t="inlineStr">
        <is>
          <t>Escenarios: 7.ª entrada, asiento ocupado, rol sin permiso, expiración — todos en verde</t>
        </is>
      </c>
      <c r="L34" s="36" t="n"/>
      <c r="M34" s="36" t="inlineStr">
        <is>
          <t>26-oct: flujo E2E ejecutado en Apidog (login cliente → reservar → confirmar → login admin → validar QR), 5 de 5 aprobados, más casos negativos. Prueba de concurrencia con k6 (docs/pruebas/k6): 50 usuarios sobre el mismo asiento → 1 reserva creada y 49 rechazadas con 409; carga de disponibilidad con 20 usuarios durante 30 s: 24 121 solicitudes, p95 37,7 ms, 0 % de errores. Pasar a Hecho cuando estén ejecutados los cuatro escenarios de los criterios.</t>
        </is>
      </c>
    </row>
    <row r="35" ht="39.55" customHeight="1" s="21">
      <c r="A35" s="31" t="inlineStr">
        <is>
          <t>HU-31</t>
        </is>
      </c>
      <c r="B35" s="26" t="inlineStr">
        <is>
          <t>Como evaluador, quiero un README con instrucciones de despliegue, .env de ejemplo y docker compose para levantar el sistema</t>
        </is>
      </c>
      <c r="C35" s="32" t="inlineStr">
        <is>
          <t>Técnica</t>
        </is>
      </c>
      <c r="D35" s="26" t="inlineStr">
        <is>
          <t>Repositorio</t>
        </is>
      </c>
      <c r="E35" s="32" t="inlineStr">
        <is>
          <t>Must</t>
        </is>
      </c>
      <c r="F35" s="33" t="n">
        <v>3</v>
      </c>
      <c r="G35" s="32" t="inlineStr">
        <is>
          <t>Sprint 4</t>
        </is>
      </c>
      <c r="H35" s="34" t="inlineStr">
        <is>
          <t>En curso</t>
        </is>
      </c>
      <c r="I35" s="35" t="n"/>
      <c r="J35" s="26" t="inlineStr">
        <is>
          <t>Entregable GitHub</t>
        </is>
      </c>
      <c r="K35" s="26" t="inlineStr">
        <is>
          <t>Un tercero levanta todo siguiendo solo el README</t>
        </is>
      </c>
      <c r="L35" s="36" t="n"/>
      <c r="M35" s="36" t="inlineStr">
        <is>
          <t>README con instrucciones para levantar el sistema, variables de entorno y usuarios de prueba (puerto de Mailpit 2525). Faltan el .env de ejemplo y Docker Compose (trabajo futuro).</t>
        </is>
      </c>
    </row>
    <row r="36" ht="26.85" customHeight="1" s="21">
      <c r="A36" s="31" t="inlineStr">
        <is>
          <t>HU-32</t>
        </is>
      </c>
      <c r="B36" s="26" t="inlineStr">
        <is>
          <t>Como evaluador, quiero diagramas de arquitectura para entender la interacción entre componentes</t>
        </is>
      </c>
      <c r="C36" s="32" t="inlineStr">
        <is>
          <t>Técnica</t>
        </is>
      </c>
      <c r="D36" s="26" t="inlineStr">
        <is>
          <t>Documentación</t>
        </is>
      </c>
      <c r="E36" s="32" t="inlineStr">
        <is>
          <t>Must</t>
        </is>
      </c>
      <c r="F36" s="33" t="n">
        <v>2</v>
      </c>
      <c r="G36" s="32" t="inlineStr">
        <is>
          <t>Sprint 4</t>
        </is>
      </c>
      <c r="H36" s="34" t="inlineStr">
        <is>
          <t>Hecho</t>
        </is>
      </c>
      <c r="I36" s="35" t="n">
        <v>46321</v>
      </c>
      <c r="J36" s="26" t="inlineStr">
        <is>
          <t>Arquitectura de software</t>
        </is>
      </c>
      <c r="K36" s="26" t="inlineStr">
        <is>
          <t>Diagrama de componentes y de despliegue incluidos</t>
        </is>
      </c>
      <c r="L36" s="36" t="n"/>
      <c r="M36" s="36" t="inlineStr">
        <is>
          <t>Diagrama de componentes con puertos, comunicación y bases de datos en docs/arquitectura/arquitectura.png (Figura 1 del informe); modelo ER en docs/modelo-er.</t>
        </is>
      </c>
    </row>
    <row r="37" ht="26.85" customHeight="1" s="21">
      <c r="A37" s="31" t="inlineStr">
        <is>
          <t>HU-33</t>
        </is>
      </c>
      <c r="B37" s="26" t="inlineStr">
        <is>
          <t>Como estudiante, quiero ensayar la defensa para justificar cada decisión técnica</t>
        </is>
      </c>
      <c r="C37" s="32" t="inlineStr">
        <is>
          <t>Técnica</t>
        </is>
      </c>
      <c r="D37" s="26" t="inlineStr">
        <is>
          <t>Defensa</t>
        </is>
      </c>
      <c r="E37" s="32" t="inlineStr">
        <is>
          <t>Should</t>
        </is>
      </c>
      <c r="F37" s="33" t="n">
        <v>2</v>
      </c>
      <c r="G37" s="32" t="inlineStr">
        <is>
          <t>Sprint 4</t>
        </is>
      </c>
      <c r="H37" s="34" t="inlineStr">
        <is>
          <t>Pendiente</t>
        </is>
      </c>
      <c r="I37" s="35" t="n"/>
      <c r="J37" s="26" t="inlineStr">
        <is>
          <t>Defensa</t>
        </is>
      </c>
      <c r="K37" s="26" t="inlineStr">
        <is>
          <t>Ensayo completo con preguntas probables respondidas</t>
        </is>
      </c>
      <c r="L37" s="36" t="n"/>
      <c r="M37" s="36" t="n"/>
    </row>
    <row r="38" ht="191.75" customHeight="1" s="21">
      <c r="A38" s="31" t="inlineStr">
        <is>
          <t>HU-34</t>
        </is>
      </c>
      <c r="B38" s="26" t="inlineStr">
        <is>
          <t>Como auditor, quiero un registro de auditoría (audit_log) de inicios de sesión y operaciones sobre reservas para cumplir la tríada AAA</t>
        </is>
      </c>
      <c r="C38" s="32" t="inlineStr">
        <is>
          <t>Técnica</t>
        </is>
      </c>
      <c r="D38" s="26" t="inlineStr">
        <is>
          <t>MS Usuarios/Auth</t>
        </is>
      </c>
      <c r="E38" s="32" t="inlineStr">
        <is>
          <t>Should</t>
        </is>
      </c>
      <c r="F38" s="33" t="n">
        <v>3</v>
      </c>
      <c r="G38" s="32" t="inlineStr">
        <is>
          <t>Sprint 2</t>
        </is>
      </c>
      <c r="H38" s="34" t="inlineStr">
        <is>
          <t>Hecho</t>
        </is>
      </c>
      <c r="I38" s="35" t="n">
        <v>46317</v>
      </c>
      <c r="J38" s="26" t="inlineStr">
        <is>
          <t>Microservicio de autenticación (5)</t>
        </is>
      </c>
      <c r="K38" s="26" t="inlineStr">
        <is>
          <t>Login, cancelación y cambios de estado quedan registrados con usuario, acción y fecha</t>
        </is>
      </c>
      <c r="L38" s="36" t="inlineStr">
        <is>
          <t>Directo a main, sin PR (desviación documentada)</t>
        </is>
      </c>
      <c r="M38" s="36" t="inlineStr">
        <is>
          <t>audit_log en auth_db y reservation_db (cada servicio en su base). AuditWriter con REQUIRES_NEW: el registro sobrevive al rollback (login con cuenta bloqueada → 423). AuditService sin transacción: nunca tumba el negocio (probado renombrando la tabla). Usuario del SecurityContext o SISTEMA; IP de la petición; solo inserción. Auditado: login éxito/fallo con motivo, bloqueo, cambio de contraseña, estados de usuario y rol, reservas creadas/confirmadas/canceladas/expiradas, reportes generados con filtros y descargas de entradas (auditoría por riesgo, no cada consulta). Bug: script no idempotente sin DROP de audit_log.</t>
        </is>
      </c>
    </row>
    <row r="39" ht="26.85" customHeight="1" s="21">
      <c r="A39" s="31" t="inlineStr">
        <is>
          <t>HU-35</t>
        </is>
      </c>
      <c r="B39" s="26" t="inlineStr">
        <is>
          <t>Como cliente, quiero que un doble clic o un reintento no cree dos reservas iguales (llave de idempotencia)</t>
        </is>
      </c>
      <c r="C39" s="32" t="inlineStr">
        <is>
          <t>Técnica</t>
        </is>
      </c>
      <c r="D39" s="26" t="inlineStr">
        <is>
          <t>MS Reservas</t>
        </is>
      </c>
      <c r="E39" s="32" t="inlineStr">
        <is>
          <t>Could</t>
        </is>
      </c>
      <c r="F39" s="33" t="n">
        <v>3</v>
      </c>
      <c r="G39" s="32" t="inlineStr">
        <is>
          <t>Sprint 4</t>
        </is>
      </c>
      <c r="H39" s="34" t="inlineStr">
        <is>
          <t>Pendiente</t>
        </is>
      </c>
      <c r="I39" s="35" t="n"/>
      <c r="J39" s="26" t="inlineStr">
        <is>
          <t>Microservicio de reservas (5)</t>
        </is>
      </c>
      <c r="K39" s="26" t="inlineStr">
        <is>
          <t>Dos POST con la misma Idempotency-Key devuelven la misma reserva, sin duplicar</t>
        </is>
      </c>
      <c r="L39" s="36" t="n"/>
      <c r="M39" s="36" t="inlineStr">
        <is>
          <t>Trabajo futuro (fuera del alcance de la entrega).</t>
        </is>
      </c>
    </row>
    <row r="40" ht="102.95" customHeight="1" s="21">
      <c r="A40" s="31" t="inlineStr">
        <is>
          <t>HU-36</t>
        </is>
      </c>
      <c r="B40" s="26" t="inlineStr">
        <is>
          <t>Como cliente, quiero cancelar solo algunas entradas de una reserva confirmada para no perder los asientos de mis acompañantes</t>
        </is>
      </c>
      <c r="C40" s="32" t="inlineStr">
        <is>
          <t>Funcional</t>
        </is>
      </c>
      <c r="D40" s="26" t="inlineStr">
        <is>
          <t>MS Reservas</t>
        </is>
      </c>
      <c r="E40" s="32" t="inlineStr">
        <is>
          <t>Could</t>
        </is>
      </c>
      <c r="F40" s="33" t="n">
        <v>3</v>
      </c>
      <c r="G40" s="32" t="inlineStr">
        <is>
          <t>Sprint 4</t>
        </is>
      </c>
      <c r="H40" s="34" t="inlineStr">
        <is>
          <t>Pendiente</t>
        </is>
      </c>
      <c r="I40" s="35" t="n"/>
      <c r="J40" s="26" t="inlineStr">
        <is>
          <t>Realizar reserva (4)</t>
        </is>
      </c>
      <c r="K40" s="26" t="inlineStr">
        <is>
          <t>Anular 1 ticket → ANULADO y asiento libre; la reserva sigue CONFIRMADA con las demás; al anular la última pasa a CANCELADA; el cupo de 6 se libera; ticket UTILIZADO → 409; ticket ajeno → 404</t>
        </is>
      </c>
      <c r="L40" s="36" t="n"/>
      <c r="M40" s="36" t="inlineStr">
        <is>
          <t>Trabajo futuro (fuera del alcance de la entrega). 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is>
      </c>
    </row>
    <row r="41" ht="166.4" customHeight="1" s="21">
      <c r="A41" s="31" t="inlineStr">
        <is>
          <t>HU-37</t>
        </is>
      </c>
      <c r="B41" s="26" t="inlineStr">
        <is>
          <t>Como cliente, quiero descargar mis entradas en PDF, una por página con su código QR, para presentarlas en la puerta sin depender de internet</t>
        </is>
      </c>
      <c r="C41" s="32" t="inlineStr">
        <is>
          <t>Funcional</t>
        </is>
      </c>
      <c r="D41" s="26" t="inlineStr">
        <is>
          <t>MS Reservas</t>
        </is>
      </c>
      <c r="E41" s="32" t="inlineStr">
        <is>
          <t>Should</t>
        </is>
      </c>
      <c r="F41" s="33" t="n">
        <v>3</v>
      </c>
      <c r="G41" s="32" t="inlineStr">
        <is>
          <t>Sprint 2</t>
        </is>
      </c>
      <c r="H41" s="34" t="inlineStr">
        <is>
          <t>Hecho</t>
        </is>
      </c>
      <c r="I41" s="35" t="n">
        <v>46317</v>
      </c>
      <c r="J41" s="26" t="inlineStr">
        <is>
          <t>Código QR (2)</t>
        </is>
      </c>
      <c r="K41" s="26" t="inlineStr">
        <is>
          <t>Una página por ticket ACTIVO con partido, estadio, fecha, asiento, código de reserva y QR legible por el celular; reserva sin entradas activas → 409; reserva ajena → 404</t>
        </is>
      </c>
      <c r="L41" s="36" t="inlineStr">
        <is>
          <t>feature/HU-37-entradas-pdf · PR #19</t>
        </is>
      </c>
      <c r="M41" s="36" t="inlineStr">
        <is>
          <t>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is>
      </c>
    </row>
    <row r="42" ht="242.5" customHeight="1" s="21">
      <c r="A42" s="31" t="inlineStr">
        <is>
          <t>HU-38</t>
        </is>
      </c>
      <c r="B42" s="26" t="inlineStr">
        <is>
          <t>Como administrador, quiero ubicar cada sección como un recuadro sobre el plano del estadio para que el cliente vea un mapa real y elija su asiento</t>
        </is>
      </c>
      <c r="C42" s="32" t="inlineStr">
        <is>
          <t>Funcional</t>
        </is>
      </c>
      <c r="D42" s="26" t="inlineStr">
        <is>
          <t>MS Partidos</t>
        </is>
      </c>
      <c r="E42" s="32" t="inlineStr">
        <is>
          <t>Must</t>
        </is>
      </c>
      <c r="F42" s="33" t="n">
        <v>5</v>
      </c>
      <c r="G42" s="32" t="inlineStr">
        <is>
          <t>Sprint 3</t>
        </is>
      </c>
      <c r="H42" s="34" t="inlineStr">
        <is>
          <t>Hecho</t>
        </is>
      </c>
      <c r="I42" s="35" t="n">
        <v>46317</v>
      </c>
      <c r="J42" s="26" t="inlineStr">
        <is>
          <t>Implementación aplicación web (10)</t>
        </is>
      </c>
      <c r="K42" s="26" t="inlineStr">
        <is>
          <t>Sección guarda x, y, ancho y alto en % del plano (0–100); fuera del plano → 400; superpuesta con otra sección → 422; GET /stadiums/{id}/layout devuelve secciones con su recuadro, filas y asientos; semillas con coordenadas</t>
        </is>
      </c>
      <c r="L42" s="36" t="inlineStr">
        <is>
          <t>feature/HU-38-plano-estadio · PR #22 · feature/HU-38-layout · PR #23 y #24</t>
        </is>
      </c>
      <c r="M42" s="36" t="inlineStr">
        <is>
          <t>Recuadro de cada sección (x, y, ancho, alto en % del plano, enteros) como @Embeddable SectionBox con overlaps(): no pisa la cancha (fija, x 28 y 25 44×50) ni otra sección → 422; tocarse en el borde no es superponerse (valor límite). Validación cruzada @AssertTrue isInsidePlan → 400. PUT /sections/{id}/box (se ignora a sí misma al mover) y box opcional al crear. Base: columnas pos_x, pos_y, width, height con CHECK de completitud y de plano (+4 pruebas, 24/24), semillas ubicadas. GET /stadiums/{id}/layout público: cancha, recuadros, filas y asientos, sin disponibilidad (estático vs. dinámico); N+1 con batch fetch. Bugs: base desactualizada → validate impidió arrancar y respondía la instancia vieja; dependencia circular SectionService → sí mismo; springdoc dentro de spring: (ignorado desde el Sprint 1).</t>
        </is>
      </c>
    </row>
    <row r="43" ht="52.2" customHeight="1" s="21">
      <c r="A43" s="31" t="inlineStr">
        <is>
          <t>HU-39</t>
        </is>
      </c>
      <c r="B43" s="26" t="inlineStr">
        <is>
          <t>Como administrador, quiero arrastrar y redimensionar las secciones sobre el plano en lugar de escribir coordenadas</t>
        </is>
      </c>
      <c r="C43" s="32" t="inlineStr">
        <is>
          <t>Funcional</t>
        </is>
      </c>
      <c r="D43" s="26" t="inlineStr">
        <is>
          <t>Frontend</t>
        </is>
      </c>
      <c r="E43" s="32" t="inlineStr">
        <is>
          <t>Could</t>
        </is>
      </c>
      <c r="F43" s="33" t="n">
        <v>3</v>
      </c>
      <c r="G43" s="32" t="inlineStr">
        <is>
          <t>Sprint 4</t>
        </is>
      </c>
      <c r="H43" s="34" t="inlineStr">
        <is>
          <t>Pendiente</t>
        </is>
      </c>
      <c r="I43" s="35" t="n"/>
      <c r="J43" s="26" t="inlineStr">
        <is>
          <t>Implementación aplicación web (10)</t>
        </is>
      </c>
      <c r="K43" s="26" t="inlineStr">
        <is>
          <t>Arrastrar/redimensionar actualiza x, y, ancho y alto; se guarda con el mismo endpoint de HU-38; las reglas de superposición siguen validándose en el backend</t>
        </is>
      </c>
      <c r="L43" s="36" t="n"/>
      <c r="M43" s="36" t="inlineStr">
        <is>
          <t>Trabajo futuro (fuera del alcance de la entrega). Mejora visual de HU-38: editor de arrastrar y soltar (por ejemplo react-rnd). Recortable: HU-38 ya permite ubicar las secciones con números y vista previa.</t>
        </is>
      </c>
    </row>
    <row r="44" ht="153.7" customHeight="1" s="21">
      <c r="A44" s="31" t="inlineStr">
        <is>
          <t>HU-40</t>
        </is>
      </c>
      <c r="B44" s="26" t="inlineStr">
        <is>
          <t>Como negocio, quiero que la venta online cierre a una hora fija respecto del inicio del partido, aunque el admin no cambie el estado</t>
        </is>
      </c>
      <c r="C44" s="32" t="inlineStr">
        <is>
          <t>Funcional</t>
        </is>
      </c>
      <c r="D44" s="26" t="inlineStr">
        <is>
          <t>MS Reservas</t>
        </is>
      </c>
      <c r="E44" s="32" t="inlineStr">
        <is>
          <t>Should</t>
        </is>
      </c>
      <c r="F44" s="33" t="n">
        <v>3</v>
      </c>
      <c r="G44" s="32" t="inlineStr">
        <is>
          <t>Sprint 3</t>
        </is>
      </c>
      <c r="H44" s="34" t="inlineStr">
        <is>
          <t>Hecho</t>
        </is>
      </c>
      <c r="I44" s="35" t="n">
        <v>46318</v>
      </c>
      <c r="J44" s="26" t="inlineStr">
        <is>
          <t>Implementación aplicación web (10)</t>
        </is>
      </c>
      <c r="K44" s="26" t="inlineStr">
        <is>
          <t>Reservar o confirmar después de inicio + SALES_CLOSE_OFFSET_MINUTES → 422; la reserva vence a más tardar al cierre</t>
        </is>
      </c>
      <c r="L44" s="36" t="inlineStr">
        <is>
          <t>feature/HU-28-admin-estadios · PR #30</t>
        </is>
      </c>
      <c r="M44" s="36" t="inlineStr">
        <is>
          <t>Regla nueva propuesta al probar HU-28: el estado lo cambia una persona, la hora es un hecho. SalesWindow (único dueño de la regla) en reservar, confirmar y disponibilidad: PROGRAMADO o EN_CURSO y antes de inicio + SALES_CLOSE_OFFSET_MINUTES (10, configurable; negativo = antes). expiresAt = min(ahora + HOLD_MINUTES, cierre). match-service envía fecha y hora en la validación de asientos (una sola llamada). El front solo lee salesOpen/salesCloseAt: no se calcula con el reloj del cliente.</t>
        </is>
      </c>
    </row>
    <row r="45" ht="153.7" customHeight="1" s="21">
      <c r="A45" s="31" t="inlineStr">
        <is>
          <t>HU-41</t>
        </is>
      </c>
      <c r="B45" s="26" t="inlineStr">
        <is>
          <t>Como negocio, quiero que el estado del partido cambie solo (PROGRAMADO → EN_CURSO → FINALIZADO) según su fecha y hora para no depender de que el admin lo actualice</t>
        </is>
      </c>
      <c r="C45" s="32" t="inlineStr">
        <is>
          <t>Funcional</t>
        </is>
      </c>
      <c r="D45" s="26" t="inlineStr">
        <is>
          <t>MS Partidos</t>
        </is>
      </c>
      <c r="E45" s="32" t="inlineStr">
        <is>
          <t>Should</t>
        </is>
      </c>
      <c r="F45" s="33" t="n">
        <v>3</v>
      </c>
      <c r="G45" s="32" t="inlineStr">
        <is>
          <t>Sprint 3</t>
        </is>
      </c>
      <c r="H45" s="34" t="inlineStr">
        <is>
          <t>Hecho</t>
        </is>
      </c>
      <c r="I45" s="35" t="n">
        <v>46319</v>
      </c>
      <c r="J45" s="26" t="inlineStr">
        <is>
          <t>Microservicio de partidos (5)</t>
        </is>
      </c>
      <c r="K45" s="26" t="inlineStr">
        <is>
          <t>A la hora de inicio pasa a EN_CURSO; a inicio + 120 min pasa a FINALIZADO; un partido CANCELADO no cambia; la tarea corre cada minuto</t>
        </is>
      </c>
      <c r="L45" s="36" t="n"/>
      <c r="M45" s="36" t="inlineStr">
        <is>
          <t>Hallazgo al probar: un partido iniciado seguía PROGRAMADO. MatchStatusJob (@Scheduled) finaliza primero y luego inicia. Duración de 120 min configurable en application.yml; duración por deporte queda como trabajo futuro.</t>
        </is>
      </c>
    </row>
    <row r="46" ht="153.7" customHeight="1" s="21">
      <c r="A46" s="31" t="inlineStr">
        <is>
          <t>HU-42</t>
        </is>
      </c>
      <c r="B46" s="26" t="inlineStr">
        <is>
          <t>Como administrador, quiero registrar coliseos además de estadios para gestionar todos los escenarios que pide el caso de estudio</t>
        </is>
      </c>
      <c r="C46" s="32" t="inlineStr">
        <is>
          <t>Funcional</t>
        </is>
      </c>
      <c r="D46" s="26" t="inlineStr">
        <is>
          <t>MS Partidos</t>
        </is>
      </c>
      <c r="E46" s="32" t="inlineStr">
        <is>
          <t>Must</t>
        </is>
      </c>
      <c r="F46" s="33" t="n">
        <v>5</v>
      </c>
      <c r="G46" s="32" t="inlineStr">
        <is>
          <t>Sprint 4</t>
        </is>
      </c>
      <c r="H46" s="34" t="inlineStr">
        <is>
          <t>Hecho</t>
        </is>
      </c>
      <c r="I46" s="35" t="n">
        <v>46320</v>
      </c>
      <c r="J46" s="26" t="inlineStr">
        <is>
          <t>Microservicio de partidos (5)</t>
        </is>
      </c>
      <c r="K46" s="26" t="inlineStr">
        <is>
          <t>venueType ESTADIO o COLISEO (por defecto ESTADIO); el plano dibuja cancha de fútbol o de baloncesto según el tipo; semilla con un coliseo, 6 secciones y un partido de baloncesto</t>
        </is>
      </c>
      <c r="L46" s="36" t="n"/>
      <c r="M46" s="36" t="inlineStr">
        <is>
          <t>Hallazgo al releer el enunciado ("escenario (estadio/coliseo)"). Columna venue_type con CHECK.</t>
        </is>
      </c>
    </row>
    <row r="47" ht="153.7" customHeight="1" s="21">
      <c r="A47" s="31" t="inlineStr">
        <is>
          <t>HU-43</t>
        </is>
      </c>
      <c r="B47" s="26" t="inlineStr">
        <is>
          <t>Como administrador, quiero una pantalla de configuración para ajustar el máximo de entradas, el tiempo para confirmar, el cierre de venta y el plazo de cancelación sin tocar el código</t>
        </is>
      </c>
      <c r="C47" s="32" t="inlineStr">
        <is>
          <t>Funcional</t>
        </is>
      </c>
      <c r="D47" s="26" t="inlineStr">
        <is>
          <t>MS Reservas</t>
        </is>
      </c>
      <c r="E47" s="32" t="inlineStr">
        <is>
          <t>Must</t>
        </is>
      </c>
      <c r="F47" s="33" t="n">
        <v>5</v>
      </c>
      <c r="G47" s="32" t="inlineStr">
        <is>
          <t>Sprint 4</t>
        </is>
      </c>
      <c r="H47" s="34" t="inlineStr">
        <is>
          <t>Hecho</t>
        </is>
      </c>
      <c r="I47" s="35" t="n">
        <v>46320</v>
      </c>
      <c r="J47" s="26" t="inlineStr">
        <is>
          <t>Microservicio de reservas (5)</t>
        </is>
      </c>
      <c r="K47" s="26" t="inlineStr">
        <is>
          <t>GET/PUT /parameters solo ADMIN; cada parámetro valida su rango (p. ej. MAX_TICKETS_PER_MATCH 1–10) → 422 fuera de rango; RESERVATION_CODE_PREFIX es de solo lectura; cada cambio queda en auditoría</t>
        </is>
      </c>
      <c r="L47" s="36" t="n"/>
      <c r="M47" s="36" t="inlineStr">
        <is>
          <t>Las reglas ya estaban en la tabla parameter; faltaba la pantalla. Pantalla /admin/configuracion.</t>
        </is>
      </c>
    </row>
    <row r="48" ht="153.7" customHeight="1" s="21">
      <c r="A48" s="31" t="inlineStr">
        <is>
          <t>HU-44</t>
        </is>
      </c>
      <c r="B48" s="26" t="inlineStr">
        <is>
          <t>Como administrador, quiero ver el nombre del cliente en el reporte de reservas por partido para saber quién reservó</t>
        </is>
      </c>
      <c r="C48" s="32" t="inlineStr">
        <is>
          <t>Funcional</t>
        </is>
      </c>
      <c r="D48" s="26" t="inlineStr">
        <is>
          <t>MS Autenticación</t>
        </is>
      </c>
      <c r="E48" s="32" t="inlineStr">
        <is>
          <t>Should</t>
        </is>
      </c>
      <c r="F48" s="33" t="n">
        <v>3</v>
      </c>
      <c r="G48" s="32" t="inlineStr">
        <is>
          <t>Sprint 4</t>
        </is>
      </c>
      <c r="H48" s="34" t="inlineStr">
        <is>
          <t>Hecho</t>
        </is>
      </c>
      <c r="I48" s="35" t="n">
        <v>46320</v>
      </c>
      <c r="J48" s="26" t="inlineStr">
        <is>
          <t>Consumo de los microservicios desde la interfaz (API REST) (5)</t>
        </is>
      </c>
      <c r="K48" s="26" t="inlineStr">
        <is>
          <t>GET /clients?ids= (ADMIN, máx. 100) devuelve nombre, usuario, correo y últimos 4 dígitos de la cédula; si auth-service no responde, se muestra "Cliente #id"</t>
        </is>
      </c>
      <c r="L48" s="36" t="n"/>
      <c r="M48" s="36" t="inlineStr">
        <is>
          <t>Hallazgo al probar el reporte: "Cliente #4" no le dice nada al admin. Composición en el cliente (API Composition) con minimización de datos.</t>
        </is>
      </c>
    </row>
    <row r="49" ht="153.7" customHeight="1" s="21">
      <c r="A49" s="31" t="inlineStr">
        <is>
          <t>HU-45</t>
        </is>
      </c>
      <c r="B49" s="26" t="inlineStr">
        <is>
          <t>Como negocio, quiero que el cliente pueda cancelar una reserva confirmada solo hasta 24 horas antes del partido</t>
        </is>
      </c>
      <c r="C49" s="32" t="inlineStr">
        <is>
          <t>Funcional</t>
        </is>
      </c>
      <c r="D49" s="26" t="inlineStr">
        <is>
          <t>MS Reservas</t>
        </is>
      </c>
      <c r="E49" s="32" t="inlineStr">
        <is>
          <t>Should</t>
        </is>
      </c>
      <c r="F49" s="33" t="n">
        <v>2</v>
      </c>
      <c r="G49" s="32" t="inlineStr">
        <is>
          <t>Sprint 4</t>
        </is>
      </c>
      <c r="H49" s="34" t="inlineStr">
        <is>
          <t>Hecho</t>
        </is>
      </c>
      <c r="I49" s="35" t="n">
        <v>46320</v>
      </c>
      <c r="J49" s="26" t="inlineStr">
        <is>
          <t>Realizar reserva (4)</t>
        </is>
      </c>
      <c r="K49" s="26" t="inlineStr">
        <is>
          <t>Cliente cancela una reserva confirmada con menos de CANCEL_DEADLINE_HOURS (24, configurable 0–168) → 422; el admin puede cancelar sin ese límite</t>
        </is>
      </c>
      <c r="L49" s="36" t="n"/>
      <c r="M49" s="36" t="inlineStr">
        <is>
          <t>Regla de negocio definida al probar la cancelación.</t>
        </is>
      </c>
    </row>
    <row r="50" ht="153.7" customHeight="1" s="21">
      <c r="A50" s="31" t="inlineStr">
        <is>
          <t>HU-46</t>
        </is>
      </c>
      <c r="B50" s="26" t="inlineStr">
        <is>
          <t>Como negocio, quiero que al cancelar un partido se cancelen sus reservas y se anulen sus entradas</t>
        </is>
      </c>
      <c r="C50" s="32" t="inlineStr">
        <is>
          <t>Funcional</t>
        </is>
      </c>
      <c r="D50" s="26" t="inlineStr">
        <is>
          <t>MS Reservas</t>
        </is>
      </c>
      <c r="E50" s="32" t="inlineStr">
        <is>
          <t>Should</t>
        </is>
      </c>
      <c r="F50" s="33" t="n">
        <v>3</v>
      </c>
      <c r="G50" s="32" t="inlineStr">
        <is>
          <t>Sprint 4</t>
        </is>
      </c>
      <c r="H50" s="34" t="inlineStr">
        <is>
          <t>Hecho</t>
        </is>
      </c>
      <c r="I50" s="35" t="n">
        <v>46320</v>
      </c>
      <c r="J50" s="26" t="inlineStr">
        <is>
          <t>Realizar reserva (4)</t>
        </is>
      </c>
      <c r="K50" s="26" t="inlineStr">
        <is>
          <t>Partido CANCELADO → no se puede reservar (422); una tarea cada 60 s cancela sus reservas y anula sus entradas; el admin ve el aviso antes de cancelar</t>
        </is>
      </c>
      <c r="L50" s="36" t="n"/>
      <c r="M50" s="36" t="inlineStr">
        <is>
          <t>Consistencia eventual con una tarea programada (CancelledMatchJob). Mensajería entre servicios queda como trabajo futuro.</t>
        </is>
      </c>
    </row>
    <row r="51" ht="153.7" customHeight="1" s="21">
      <c r="A51" s="31" t="inlineStr">
        <is>
          <t>HU-47</t>
        </is>
      </c>
      <c r="B51" s="26" t="inlineStr">
        <is>
          <t>Como administrador, quiero validar el QR de cada entrada en el ingreso para que cada entrada se use una sola vez</t>
        </is>
      </c>
      <c r="C51" s="32" t="inlineStr">
        <is>
          <t>Funcional</t>
        </is>
      </c>
      <c r="D51" s="26" t="inlineStr">
        <is>
          <t>MS Reservas</t>
        </is>
      </c>
      <c r="E51" s="32" t="inlineStr">
        <is>
          <t>Must</t>
        </is>
      </c>
      <c r="F51" s="33" t="n">
        <v>5</v>
      </c>
      <c r="G51" s="32" t="inlineStr">
        <is>
          <t>Sprint 4</t>
        </is>
      </c>
      <c r="H51" s="34" t="inlineStr">
        <is>
          <t>Hecho</t>
        </is>
      </c>
      <c r="I51" s="35" t="n">
        <v>46320</v>
      </c>
      <c r="J51" s="26" t="inlineStr">
        <is>
          <t>Código QR (2)</t>
        </is>
      </c>
      <c r="K51" s="26" t="inlineStr">
        <is>
          <t>POST /tickets/validate solo ADMIN; resultados VALIDA, YA_UTILIZADA, ANULADA, OTRO_PARTIDO, NO_RECONOCIDA, PARTIDO_NO_HABILITADO; bloqueo pesimista: el mismo QR en dos puertas a la vez pasa una sola vez; cada lectura queda en auditoría</t>
        </is>
      </c>
      <c r="L51" s="36" t="n"/>
      <c r="M51" s="36" t="inlineStr">
        <is>
          <t>Pantalla /admin/control-acceso. El reporte por partido muestra además la columna Disponibles.</t>
        </is>
      </c>
    </row>
  </sheetData>
  <autoFilter ref="A4:M51"/>
  <conditionalFormatting sqref="H5:H51">
    <cfRule type="cellIs" rank="0" priority="2" equalAverage="0" operator="equal" aboveAverage="0" dxfId="7" text="" percent="0" bottom="0">
      <formula>"Hecho"</formula>
    </cfRule>
    <cfRule type="cellIs" rank="0" priority="3" equalAverage="0" operator="equal" aboveAverage="0" dxfId="8" text="" percent="0" bottom="0">
      <formula>"En curso"</formula>
    </cfRule>
    <cfRule type="cellIs" rank="0" priority="4" equalAverage="0" operator="equal" aboveAverage="0" dxfId="9" text="" percent="0" bottom="0">
      <formula>"Bloqueado"</formula>
    </cfRule>
  </conditionalFormatting>
  <dataValidations count="3">
    <dataValidation sqref="H5:H51" showDropDown="0" showInputMessage="0" showErrorMessage="0" allowBlank="0" type="list" errorStyle="stop" operator="between">
      <formula1>"Pendiente,En curso,Hecho,Bloqueado"</formula1>
      <formula2>0</formula2>
    </dataValidation>
    <dataValidation sqref="G5:G51" showDropDown="0" showInputMessage="0" showErrorMessage="0" allowBlank="0" type="list" errorStyle="stop" operator="between">
      <formula1>Sprints!$A$5:$A$9</formula1>
      <formula2>0</formula2>
    </dataValidation>
    <dataValidation sqref="I5:I51" showDropDown="0" showInputMessage="0" showErrorMessage="0" allowBlank="0" type="date" errorStyle="stop" operator="between">
      <formula1>DATE(2026,10,17)</formula1>
      <formula2>DATE(2026,10,26)</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0" min="1" max="1"/>
    <col width="32" customWidth="1" style="20" min="2" max="2"/>
    <col width="12" customWidth="1" style="20" min="3" max="4"/>
    <col width="40" customWidth="1" style="20" min="5" max="5"/>
    <col width="10" customWidth="1" style="20" min="6" max="6"/>
    <col width="12" customWidth="1" style="20" min="7" max="8"/>
    <col width="9" customWidth="1" style="20" min="9" max="9"/>
    <col width="35" customWidth="1" style="20" min="10" max="11"/>
  </cols>
  <sheetData>
    <row r="1" ht="17.35" customHeight="1" s="21">
      <c r="A1" s="22" t="inlineStr">
        <is>
          <t>Sprints</t>
        </is>
      </c>
    </row>
    <row r="2" ht="15" customHeight="1" s="21">
      <c r="A2" s="23" t="inlineStr">
        <is>
          <t>Los puntos y el avance se calculan desde el Product Backlog. Review y Retrospectiva se llenan al cerrar cada sprint.</t>
        </is>
      </c>
    </row>
    <row r="4" ht="39.55" customHeight="1" s="21">
      <c r="A4" s="30" t="inlineStr">
        <is>
          <t>Sprint</t>
        </is>
      </c>
      <c r="B4" s="30" t="inlineStr">
        <is>
          <t>Objetivo (Sprint Goal)</t>
        </is>
      </c>
      <c r="C4" s="30" t="inlineStr">
        <is>
          <t>Inicio</t>
        </is>
      </c>
      <c r="D4" s="30" t="inlineStr">
        <is>
          <t>Fin</t>
        </is>
      </c>
      <c r="E4" s="30" t="inlineStr">
        <is>
          <t>Incremento entregable</t>
        </is>
      </c>
      <c r="F4" s="30" t="inlineStr">
        <is>
          <t>Historias</t>
        </is>
      </c>
      <c r="G4" s="30" t="inlineStr">
        <is>
          <t>Puntos planificados</t>
        </is>
      </c>
      <c r="H4" s="30" t="inlineStr">
        <is>
          <t>Puntos completados</t>
        </is>
      </c>
      <c r="I4" s="30" t="inlineStr">
        <is>
          <t>Avance</t>
        </is>
      </c>
      <c r="J4" s="30" t="inlineStr">
        <is>
          <t>Sprint Review</t>
        </is>
      </c>
      <c r="K4" s="30" t="inlineStr">
        <is>
          <t>Retrospectiva</t>
        </is>
      </c>
    </row>
    <row r="5" ht="141" customHeight="1" s="21">
      <c r="A5" s="24" t="inlineStr">
        <is>
          <t>Sprint 0</t>
        </is>
      </c>
      <c r="B5" s="26" t="inlineStr">
        <is>
          <t>Base de datos y entorno</t>
        </is>
      </c>
      <c r="C5" s="25" t="n">
        <v>46312</v>
      </c>
      <c r="D5" s="25" t="n">
        <v>46312</v>
      </c>
      <c r="E5" s="26" t="inlineStr">
        <is>
          <t>Entorno instalado, modelo ER, script SQL de creación y semillas</t>
        </is>
      </c>
      <c r="F5" s="26">
        <f>COUNTIF('Product Backlog'!$G$5:$G$51,A5)</f>
        <v/>
      </c>
      <c r="G5" s="26">
        <f>SUMIFS('Product Backlog'!$F$5:$F$51,'Product Backlog'!$G$5:$G$51,A5)</f>
        <v/>
      </c>
      <c r="H5" s="26">
        <f>SUMIFS('Product Backlog'!$F$5:$F$51,'Product Backlog'!$G$5:$G$51,A5,'Product Backlog'!$H$5:$H$51,"Hecho")</f>
        <v/>
      </c>
      <c r="I5" s="27">
        <f>IF(G5=0,0,H5/G5)</f>
        <v/>
      </c>
      <c r="J5" s="36" t="inlineStr">
        <is>
          <t>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is>
      </c>
      <c r="K5" s="36" t="inlineStr">
        <is>
          <t>Salió bien: crear las bases de datos y encontrar las relaciones entre las tablas.
Costó: recordar el modelo entidad-relación y saber dónde va la FK.
Acción de mejora: probar en Apidog cada endpoint apenas esté listo, no al final del sprint.</t>
        </is>
      </c>
    </row>
    <row r="6" ht="179.1" customHeight="1" s="21">
      <c r="A6" s="24" t="inlineStr">
        <is>
          <t>Sprint 1</t>
        </is>
      </c>
      <c r="B6" s="26" t="inlineStr">
        <is>
          <t>Microservicios Partidos y Usuarios/Auth</t>
        </is>
      </c>
      <c r="C6" s="25" t="n">
        <v>46313</v>
      </c>
      <c r="D6" s="25" t="n">
        <v>46315</v>
      </c>
      <c r="E6" s="26" t="inlineStr">
        <is>
          <t>Partidos y Auth funcionando con Swagger, JWT y roles</t>
        </is>
      </c>
      <c r="F6" s="26">
        <f>COUNTIF('Product Backlog'!$G$5:$G$51,A6)</f>
        <v/>
      </c>
      <c r="G6" s="26">
        <f>SUMIFS('Product Backlog'!$F$5:$F$51,'Product Backlog'!$G$5:$G$51,A6)</f>
        <v/>
      </c>
      <c r="H6" s="26">
        <f>SUMIFS('Product Backlog'!$F$5:$F$51,'Product Backlog'!$G$5:$G$51,A6,'Product Backlog'!$H$5:$H$51,"Hecho")</f>
        <v/>
      </c>
      <c r="I6" s="27">
        <f>IF(G6=0,0,H6/G6)</f>
        <v/>
      </c>
      <c r="J6" s="36" t="inlineStr">
        <is>
          <t>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is>
      </c>
      <c r="K6" s="36" t="inlineStr">
        <is>
          <t>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is>
      </c>
    </row>
    <row r="7" ht="229.85" customHeight="1" s="21">
      <c r="A7" s="24" t="inlineStr">
        <is>
          <t>Sprint 2</t>
        </is>
      </c>
      <c r="B7" s="26" t="inlineStr">
        <is>
          <t>Microservicio Reservas</t>
        </is>
      </c>
      <c r="C7" s="25" t="n">
        <v>46315</v>
      </c>
      <c r="D7" s="25" t="n">
        <v>46317</v>
      </c>
      <c r="E7" s="26" t="inlineStr">
        <is>
          <t>Reservas con regla de 6, expiración, QR y reportes PDF</t>
        </is>
      </c>
      <c r="F7" s="26">
        <f>COUNTIF('Product Backlog'!$G$5:$G$51,A7)</f>
        <v/>
      </c>
      <c r="G7" s="26">
        <f>SUMIFS('Product Backlog'!$F$5:$F$51,'Product Backlog'!$G$5:$G$51,A7)</f>
        <v/>
      </c>
      <c r="H7" s="26">
        <f>SUMIFS('Product Backlog'!$F$5:$F$51,'Product Backlog'!$G$5:$G$51,A7,'Product Backlog'!$H$5:$H$51,"Hecho")</f>
        <v/>
      </c>
      <c r="I7" s="27">
        <f>IF(G7=0,0,H7/G7)</f>
        <v/>
      </c>
      <c r="J7" s="36" t="inlineStr">
        <is>
          <t>Incremento: reservation-service completo (disponibilidad, reservar con máximo 6, expiración automática, confirmar con tickets QR, cancelar, mis reservas, entradas y reporte del administrador en JSON y PDF), integrado con match-service (endpoints internos con X-Internal-Key) y con el JWT, más auditoría (audit_log) en auth y reservas: tríada AAA completa. 43/43 puntos. 13 bugs y hallazgos documentados (LazyInitializationException, auto-invocación transaccional, contrato del header, configuración ignorada, script no idempotente, huecos funcionales). Resumen completo en docs/sprints/sprint-2.md.</t>
        </is>
      </c>
      <c r="K7" s="36" t="inlineStr">
        <is>
          <t>Salió bien: se terminaron todas las historias comprometidas; fue interesante, en especial entender los PDF.
Costó: llevó más tiempo del planificado (un día más y nuevas historias descubiertas al probar).
Acción de mejora: probar apenas compila y tras cada arreglo; un commit por parte; revisar el servicio de cada carpeta al importar en Apidog.
Ánimo: muchas ganas de empezar el frontend.</t>
        </is>
      </c>
    </row>
    <row r="8" ht="26.85" customHeight="1" s="21">
      <c r="A8" s="24" t="inlineStr">
        <is>
          <t>Sprint 3</t>
        </is>
      </c>
      <c r="B8" s="26" t="inlineStr">
        <is>
          <t>Frontend</t>
        </is>
      </c>
      <c r="C8" s="25" t="n">
        <v>46317</v>
      </c>
      <c r="D8" s="25" t="n">
        <v>46319</v>
      </c>
      <c r="E8" s="26" t="inlineStr">
        <is>
          <t>Aplicación web completa para Cliente y Administrador</t>
        </is>
      </c>
      <c r="F8" s="26">
        <f>COUNTIF('Product Backlog'!$G$5:$G$51,A8)</f>
        <v/>
      </c>
      <c r="G8" s="26">
        <f>SUMIFS('Product Backlog'!$F$5:$F$51,'Product Backlog'!$G$5:$G$51,A8)</f>
        <v/>
      </c>
      <c r="H8" s="26">
        <f>SUMIFS('Product Backlog'!$F$5:$F$51,'Product Backlog'!$G$5:$G$51,A8,'Product Backlog'!$H$5:$H$51,"Hecho")</f>
        <v/>
      </c>
      <c r="I8" s="27">
        <f>IF(G8=0,0,H8/G8)</f>
        <v/>
      </c>
      <c r="J8" s="36" t="n"/>
      <c r="K8" s="36" t="n"/>
    </row>
    <row r="9" ht="26.85" customHeight="1" s="21">
      <c r="A9" s="24" t="inlineStr">
        <is>
          <t>Sprint 4</t>
        </is>
      </c>
      <c r="B9" s="26" t="inlineStr">
        <is>
          <t>Cierre y entrega</t>
        </is>
      </c>
      <c r="C9" s="25" t="n">
        <v>46320</v>
      </c>
      <c r="D9" s="25" t="n">
        <v>46321</v>
      </c>
      <c r="E9" s="26" t="inlineStr">
        <is>
          <t>Escenarios coliseo, estados automáticos, configuración, control de acceso con QR, casos E2E, README y entrega</t>
        </is>
      </c>
      <c r="F9" s="26">
        <f>COUNTIF('Product Backlog'!$G$5:$G$51,A9)</f>
        <v/>
      </c>
      <c r="G9" s="26">
        <f>SUMIFS('Product Backlog'!$F$5:$F$51,'Product Backlog'!$G$5:$G$51,A9)</f>
        <v/>
      </c>
      <c r="H9" s="26">
        <f>SUMIFS('Product Backlog'!$F$5:$F$51,'Product Backlog'!$G$5:$G$51,A9,'Product Backlog'!$H$5:$H$51,"Hecho")</f>
        <v/>
      </c>
      <c r="I9" s="27">
        <f>IF(G9=0,0,H9/G9)</f>
        <v/>
      </c>
      <c r="J9" s="36" t="n"/>
      <c r="K9" s="36" t="n"/>
    </row>
    <row r="10" ht="15" customHeight="1" s="21">
      <c r="A10" s="24" t="inlineStr">
        <is>
          <t>Total</t>
        </is>
      </c>
      <c r="F10" s="24">
        <f>SUM(F5:F9)</f>
        <v/>
      </c>
      <c r="G10" s="24">
        <f>SUM(G5:G9)</f>
        <v/>
      </c>
      <c r="H10" s="24">
        <f>SUM(H5:H9)</f>
        <v/>
      </c>
      <c r="I10" s="37">
        <f>IF(G10=0,0,H10/G10)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20" min="1" max="1"/>
    <col width="52" customWidth="1" style="20" min="2" max="2"/>
    <col width="10" customWidth="1" style="20" min="3" max="3"/>
    <col width="26" customWidth="1" style="20" min="4" max="4"/>
  </cols>
  <sheetData>
    <row r="1" ht="17.35" customHeight="1" s="21">
      <c r="A1" s="22" t="inlineStr">
        <is>
          <t>Rúbrica de evaluación (del enunciado)</t>
        </is>
      </c>
    </row>
    <row r="2" ht="15" customHeight="1" s="21">
      <c r="A2" s="23" t="inlineStr">
        <is>
          <t>Fuente: documento 'Complexivo práctico' entregado por la usuaria. Nota final = (Servicios + Arquitectura) / 2.</t>
        </is>
      </c>
    </row>
    <row r="4" ht="15" customHeight="1" s="21">
      <c r="A4" s="30" t="inlineStr">
        <is>
          <t>Bloque</t>
        </is>
      </c>
      <c r="B4" s="30" t="inlineStr">
        <is>
          <t>Concepto</t>
        </is>
      </c>
      <c r="C4" s="30" t="inlineStr">
        <is>
          <t>Puntaje</t>
        </is>
      </c>
      <c r="D4" s="30" t="inlineStr">
        <is>
          <t>Historias que lo cubren</t>
        </is>
      </c>
    </row>
    <row r="5" ht="15" customHeight="1" s="21">
      <c r="A5" s="24" t="inlineStr">
        <is>
          <t>Servicios</t>
        </is>
      </c>
      <c r="B5" s="26" t="inlineStr">
        <is>
          <t>Modelo ER, Scripts SQL</t>
        </is>
      </c>
      <c r="C5" s="38" t="n">
        <v>5</v>
      </c>
      <c r="D5" s="26" t="inlineStr">
        <is>
          <t>HU-02, HU-03, HU-04</t>
        </is>
      </c>
    </row>
    <row r="6" ht="15" customHeight="1" s="21">
      <c r="A6" s="24" t="inlineStr">
        <is>
          <t>Servicios</t>
        </is>
      </c>
      <c r="B6" s="26" t="inlineStr">
        <is>
          <t>Acceso a la aplicación web</t>
        </is>
      </c>
      <c r="C6" s="38" t="n">
        <v>2</v>
      </c>
      <c r="D6" s="26" t="inlineStr">
        <is>
          <t>HU-23, HU-29</t>
        </is>
      </c>
    </row>
    <row r="7" ht="15" customHeight="1" s="21">
      <c r="A7" s="24" t="inlineStr">
        <is>
          <t>Servicios</t>
        </is>
      </c>
      <c r="B7" s="26" t="inlineStr">
        <is>
          <t>Consulta de partidos, horarios, secciones, asientos</t>
        </is>
      </c>
      <c r="C7" s="38" t="n">
        <v>2</v>
      </c>
      <c r="D7" s="26" t="inlineStr">
        <is>
          <t>HU-09, HU-24</t>
        </is>
      </c>
    </row>
    <row r="8" ht="15" customHeight="1" s="21">
      <c r="A8" s="24" t="inlineStr">
        <is>
          <t>Servicios</t>
        </is>
      </c>
      <c r="B8" s="26" t="inlineStr">
        <is>
          <t>Realizar reserva</t>
        </is>
      </c>
      <c r="C8" s="38" t="n">
        <v>4</v>
      </c>
      <c r="D8" s="26" t="inlineStr">
        <is>
          <t>HU-15, HU-19, HU-26</t>
        </is>
      </c>
    </row>
    <row r="9" ht="15" customHeight="1" s="21">
      <c r="A9" s="24" t="inlineStr">
        <is>
          <t>Servicios</t>
        </is>
      </c>
      <c r="B9" s="26" t="inlineStr">
        <is>
          <t>Código QR</t>
        </is>
      </c>
      <c r="C9" s="38" t="n">
        <v>2</v>
      </c>
      <c r="D9" s="26" t="inlineStr">
        <is>
          <t>HU-18, HU-27, HU-47</t>
        </is>
      </c>
    </row>
    <row r="10" ht="15" customHeight="1" s="21">
      <c r="A10" s="24" t="inlineStr">
        <is>
          <t>Servicios</t>
        </is>
      </c>
      <c r="B10" s="26" t="inlineStr">
        <is>
          <t>Usabilidad y experiencia de usuario</t>
        </is>
      </c>
      <c r="C10" s="38" t="n">
        <v>5</v>
      </c>
      <c r="D10" s="26" t="inlineStr">
        <is>
          <t>HU-25</t>
        </is>
      </c>
    </row>
    <row r="11" ht="15" customHeight="1" s="21">
      <c r="A11" s="24" t="inlineStr">
        <is>
          <t>Arquitectura</t>
        </is>
      </c>
      <c r="B11" s="26" t="inlineStr">
        <is>
          <t>Microservicio de autenticación e inicio de sesión</t>
        </is>
      </c>
      <c r="C11" s="38" t="n">
        <v>5</v>
      </c>
      <c r="D11" s="26" t="inlineStr">
        <is>
          <t>HU-10 a HU-13</t>
        </is>
      </c>
    </row>
    <row r="12" ht="15" customHeight="1" s="21">
      <c r="A12" s="24" t="inlineStr">
        <is>
          <t>Arquitectura</t>
        </is>
      </c>
      <c r="B12" s="26" t="inlineStr">
        <is>
          <t>Microservicio de reservas</t>
        </is>
      </c>
      <c r="C12" s="38" t="n">
        <v>5</v>
      </c>
      <c r="D12" s="26" t="inlineStr">
        <is>
          <t>HU-16, HU-17, HU-43, HU-45, HU-46</t>
        </is>
      </c>
    </row>
    <row r="13" ht="15" customHeight="1" s="21">
      <c r="A13" s="24" t="inlineStr">
        <is>
          <t>Arquitectura</t>
        </is>
      </c>
      <c r="B13" s="26" t="inlineStr">
        <is>
          <t>Microservicio de partidos</t>
        </is>
      </c>
      <c r="C13" s="38" t="n">
        <v>5</v>
      </c>
      <c r="D13" s="26" t="inlineStr">
        <is>
          <t>HU-06, HU-07, HU-08, HU-41, HU-42</t>
        </is>
      </c>
    </row>
    <row r="14" ht="26.85" customHeight="1" s="21">
      <c r="A14" s="24" t="inlineStr">
        <is>
          <t>Arquitectura</t>
        </is>
      </c>
      <c r="B14" s="26" t="inlineStr">
        <is>
          <t>Consumo de los microservicios desde la interfaz (API REST)</t>
        </is>
      </c>
      <c r="C14" s="38" t="n">
        <v>5</v>
      </c>
      <c r="D14" s="26" t="inlineStr">
        <is>
          <t>HU-28, HU-22, HU-44</t>
        </is>
      </c>
    </row>
    <row r="15" ht="15" customHeight="1" s="21">
      <c r="B15" s="24" t="inlineStr">
        <is>
          <t>Total Servicios</t>
        </is>
      </c>
      <c r="C15" s="24">
        <f>SUMIFS(C5:C14,A5:A14,"Servicios")</f>
        <v/>
      </c>
    </row>
    <row r="16" ht="15" customHeight="1" s="21">
      <c r="B16" s="24" t="inlineStr">
        <is>
          <t>Total Arquitectura</t>
        </is>
      </c>
      <c r="C16" s="24">
        <f>SUMIFS(C5:C14,A5:A14,"Arquitectura")</f>
        <v/>
      </c>
    </row>
    <row r="17" ht="15" customHeight="1" s="21">
      <c r="B17" s="24" t="inlineStr">
        <is>
          <t>Nota máxima final</t>
        </is>
      </c>
      <c r="C17" s="24">
        <f>(C15+C16)/2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0" min="1" max="1"/>
    <col width="10" customWidth="1" style="20" min="2" max="3"/>
  </cols>
  <sheetData>
    <row r="1" ht="17.35" customHeight="1" s="21">
      <c r="A1" s="22" t="inlineStr">
        <is>
          <t>Burndown del proyecto</t>
        </is>
      </c>
    </row>
    <row r="2" ht="15" customHeight="1" s="21">
      <c r="A2" s="23" t="inlineStr">
        <is>
          <t>Real = puntos totales − puntos de historias 'Hecho' con fecha completada hasta ese día.</t>
        </is>
      </c>
    </row>
    <row r="4" ht="15" customHeight="1" s="21">
      <c r="A4" s="30" t="inlineStr">
        <is>
          <t>Fecha</t>
        </is>
      </c>
      <c r="B4" s="30" t="inlineStr">
        <is>
          <t>Ideal</t>
        </is>
      </c>
      <c r="C4" s="30" t="inlineStr">
        <is>
          <t>Real</t>
        </is>
      </c>
    </row>
    <row r="5" ht="15" customHeight="1" s="21">
      <c r="A5" s="39" t="n">
        <v>46312</v>
      </c>
      <c r="B5" s="40">
        <f>Resumen!$B$7*(1-0/9)</f>
        <v/>
      </c>
      <c r="C5" s="26">
        <f>Resumen!$B$7-SUMIFS('Product Backlog'!$F$5:$F$51,'Product Backlog'!$H$5:$H$51,"Hecho",'Product Backlog'!$I$5:$I$51,"&lt;="&amp;A5)</f>
        <v/>
      </c>
    </row>
    <row r="6" ht="15" customHeight="1" s="21">
      <c r="A6" s="39" t="n">
        <v>46313</v>
      </c>
      <c r="B6" s="40">
        <f>Resumen!$B$7*(1-1/9)</f>
        <v/>
      </c>
      <c r="C6" s="26">
        <f>Resumen!$B$7-SUMIFS('Product Backlog'!$F$5:$F$51,'Product Backlog'!$H$5:$H$51,"Hecho",'Product Backlog'!$I$5:$I$51,"&lt;="&amp;A6)</f>
        <v/>
      </c>
    </row>
    <row r="7" ht="15" customHeight="1" s="21">
      <c r="A7" s="39" t="n">
        <v>46314</v>
      </c>
      <c r="B7" s="40">
        <f>Resumen!$B$7*(1-2/9)</f>
        <v/>
      </c>
      <c r="C7" s="26">
        <f>Resumen!$B$7-SUMIFS('Product Backlog'!$F$5:$F$51,'Product Backlog'!$H$5:$H$51,"Hecho",'Product Backlog'!$I$5:$I$51,"&lt;="&amp;A7)</f>
        <v/>
      </c>
    </row>
    <row r="8" ht="15" customHeight="1" s="21">
      <c r="A8" s="39" t="n">
        <v>46315</v>
      </c>
      <c r="B8" s="40">
        <f>Resumen!$B$7*(1-3/9)</f>
        <v/>
      </c>
      <c r="C8" s="26">
        <f>Resumen!$B$7-SUMIFS('Product Backlog'!$F$5:$F$51,'Product Backlog'!$H$5:$H$51,"Hecho",'Product Backlog'!$I$5:$I$51,"&lt;="&amp;A8)</f>
        <v/>
      </c>
    </row>
    <row r="9" ht="15" customHeight="1" s="21">
      <c r="A9" s="39" t="n">
        <v>46316</v>
      </c>
      <c r="B9" s="40">
        <f>Resumen!$B$7*(1-4/9)</f>
        <v/>
      </c>
      <c r="C9" s="26">
        <f>Resumen!$B$7-SUMIFS('Product Backlog'!$F$5:$F$51,'Product Backlog'!$H$5:$H$51,"Hecho",'Product Backlog'!$I$5:$I$51,"&lt;="&amp;A9)</f>
        <v/>
      </c>
    </row>
    <row r="10" ht="15" customHeight="1" s="21">
      <c r="A10" s="39" t="n">
        <v>46317</v>
      </c>
      <c r="B10" s="40">
        <f>Resumen!$B$7*(1-5/9)</f>
        <v/>
      </c>
      <c r="C10" s="26">
        <f>Resumen!$B$7-SUMIFS('Product Backlog'!$F$5:$F$51,'Product Backlog'!$H$5:$H$51,"Hecho",'Product Backlog'!$I$5:$I$51,"&lt;="&amp;A10)</f>
        <v/>
      </c>
    </row>
    <row r="11" ht="15" customHeight="1" s="21">
      <c r="A11" s="39" t="n">
        <v>46318</v>
      </c>
      <c r="B11" s="40">
        <f>Resumen!$B$7*(1-6/9)</f>
        <v/>
      </c>
      <c r="C11" s="26">
        <f>Resumen!$B$7-SUMIFS('Product Backlog'!$F$5:$F$51,'Product Backlog'!$H$5:$H$51,"Hecho",'Product Backlog'!$I$5:$I$51,"&lt;="&amp;A11)</f>
        <v/>
      </c>
    </row>
    <row r="12" ht="15" customHeight="1" s="21">
      <c r="A12" s="39" t="n">
        <v>46319</v>
      </c>
      <c r="B12" s="40">
        <f>Resumen!$B$7*(1-7/9)</f>
        <v/>
      </c>
      <c r="C12" s="26">
        <f>Resumen!$B$7-SUMIFS('Product Backlog'!$F$5:$F$51,'Product Backlog'!$H$5:$H$51,"Hecho",'Product Backlog'!$I$5:$I$51,"&lt;="&amp;A12)</f>
        <v/>
      </c>
    </row>
    <row r="13" ht="15" customHeight="1" s="21">
      <c r="A13" s="39" t="n">
        <v>46320</v>
      </c>
      <c r="B13" s="40">
        <f>Resumen!$B$7*(1-8/9)</f>
        <v/>
      </c>
      <c r="C13" s="26">
        <f>Resumen!$B$7-SUMIFS('Product Backlog'!$F$5:$F$51,'Product Backlog'!$H$5:$H$51,"Hecho",'Product Backlog'!$I$5:$I$51,"&lt;="&amp;A13)</f>
        <v/>
      </c>
    </row>
    <row r="14" ht="15" customHeight="1" s="21">
      <c r="A14" s="39" t="n">
        <v>46321</v>
      </c>
      <c r="B14" s="40">
        <f>Resumen!$B$7*(1-9/9)</f>
        <v/>
      </c>
      <c r="C14" s="26">
        <f>Resumen!$B$7-SUMIFS('Product Backlog'!$F$5:$F$51,'Product Backlog'!$H$5:$H$51,"Hecho",'Product Backlog'!$I$5:$I$51,"&lt;="&amp;A14)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2026-10-23T23:25:45Z</dcterms:created>
  <dcterms:modified xmlns:dcterms="http://purl.org/dc/terms/" xmlns:xsi="http://www.w3.org/2001/XMLSchema-instance" xsi:type="dcterms:W3CDTF">2026-10-27T00:16:10Z</dcterms:modified>
  <cp:revision>1</cp:revision>
</cp:coreProperties>
</file>
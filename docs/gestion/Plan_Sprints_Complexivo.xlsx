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<sst xmlns="http://schemas.openxmlformats.org/spreadsheetml/2006/main" count="525" uniqueCount="305">
  <si>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</si>
  <si>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</si>
  <si>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</si>
  <si>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</si>
  <si>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</si>
  <si>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</si>
  <si>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</si>
  <si>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</si>
  <si>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</si>
  <si>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</si>
  <si>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</si>
  <si>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</si>
  <si>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</si>
  <si>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</si>
  <si>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</si>
  <si>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</si>
  <si>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</si>
  <si>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</si>
  <si>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</si>
  <si>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</si>
  <si>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</si>
  <si>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</si>
  <si>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</si>
  <si>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</si>
  <si>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</si>
  <si>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</si>
  <si>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</si>
  <si>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</si>
  <si>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</si>
  <si>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</si>
  <si>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</si>
  <si>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</si>
  <si>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</si>
  <si>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</si>
  <si>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</si>
  <si>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</si>
  <si>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</si>
  <si>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</si>
  <si>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</si>
  <si>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</si>
  <si>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</si>
  <si>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</si>
  <si>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</si>
  <si>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</si>
  <si>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</si>
  <si>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</si>
  <si>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</si>
  <si>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</si>
  <si>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</si>
  <si>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</si>
  <si>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</si>
  <si>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</si>
  <si>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</si>
  <si>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</si>
  <si>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</si>
  <si>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</si>
  <si>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</si>
  <si>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</si>
  <si>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</si>
  <si>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</si>
  <si>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</si>
  <si>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</si>
  <si>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</si>
  <si>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</si>
  <si>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</si>
  <si>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</si>
  <si>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</si>
  <si>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</si>
  <si>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</si>
  <si>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</si>
  <si>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</si>
  <si>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</si>
  <si>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</si>
  <si>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</si>
  <si>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</si>
  <si>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</si>
  <si>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</si>
  <si>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</si>
  <si>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</si>
  <si>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</si>
  <si>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</si>
  <si>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</si>
  <si>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</si>
  <si>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</si>
  <si>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</si>
  <si>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</si>
  <si>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</si>
  <si>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</si>
  <si>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</si>
  <si>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</si>
  <si>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</si>
  <si>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</si>
  <si>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</si>
  <si>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</si>
  <si>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</si>
  <si>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</si>
  <si>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</si>
  <si>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</si>
  <si>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</si>
  <si>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</si>
  <si>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</si>
  <si>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</si>
  <si>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</si>
  <si>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</si>
  <si>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</si>
  <si>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</si>
  <si>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</si>
  <si>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</si>
  <si>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</si>
  <si>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</si>
  <si>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</si>
  <si>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</si>
  <si>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</si>
  <si>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</si>
  <si>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</si>
  <si>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</si>
  <si>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</si>
  <si>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</si>
  <si>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</si>
  <si>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</si>
  <si>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</si>
  <si>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</si>
  <si>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</si>
  <si>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</si>
  <si>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</si>
  <si>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</si>
  <si>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</si>
  <si>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</si>
  <si>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</si>
  <si>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</si>
  <si>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</si>
  <si>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</si>
  <si>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</si>
  <si>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</si>
  <si>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</si>
  <si>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</si>
  <si>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</si>
  <si>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</si>
  <si>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</si>
  <si>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</si>
  <si>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</si>
  <si>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</si>
  <si>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</si>
  <si>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</si>
  <si>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</si>
  <si>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 · feature/HU-20-mis-reservas-frontend · PR #29</t>
  </si>
  <si>
    <t xml:space="preserve">Front (PR #29, 23-oct): pantalla /reservas con filtros Activas/Historial/Todas (en el cliente), PENDIENTE vencida mostrada como EXPIRADA, descarga del PDF, estado vacío y "Partido #id" si match-service cae. Back: 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</si>
  <si>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</si>
  <si>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</si>
  <si>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</si>
  <si>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</si>
  <si>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</si>
  <si>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</si>
  <si>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</si>
  <si>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</si>
  <si>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</si>
  <si>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</si>
  <si>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</si>
  <si>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</si>
  <si>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</si>
  <si>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</si>
  <si>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</si>
  <si>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</si>
  <si>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</si>
  <si>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feature/HU-23-login · PR #25</t>
  </si>
  <si>
    <t xml:space="preserve">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</si>
  <si>
    <t xml:space="preserve">HU-24</t>
  </si>
  <si>
    <t xml:space="preserve">Como cliente, quiero un catálogo de partidos con búsqueda por fecha para elegir un evento</t>
  </si>
  <si>
    <t xml:space="preserve">Búsqueda por fecha funciona; muestra estadio, fecha y hora</t>
  </si>
  <si>
    <t xml:space="preserve">feature/HU-24-catalogo · PR #27</t>
  </si>
  <si>
    <t xml:space="preserve">Catálogo público en /: por defecto PROGRAMADO desde hoy; búsqueda por fecha y por equipo (mínimo 2 letras, validado antes de llamar). Endpoints públicos sin token (un token vencido no causa 401). Respuestas viejas ignoradas (race condition). Fechas con Intl es-EC armadas en hora local (new Date("AAAA-MM-DD") las corre un día por UTC). Cuatro estados: cargando, error, vacío y con datos. Bug: rutas nuevas fuera del Layout y "/" duplicada → seguía la página vieja.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</si>
  <si>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</si>
  <si>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</si>
  <si>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</si>
  <si>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</si>
  <si>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feature/HU-25-mapa-asientos · PR #28</t>
  </si>
  <si>
    <t xml:space="preserve">Plano SVG del estadio (lienzo cuadrado: cancha vertical con áreas, arcos y pista; secciones en sus recuadros con nombre ajustado a 1-2 líneas) y grilla de asientos orientada hacia la cancha (la fila A siempre pegada a la cancha, CSS Grid). Estructura una vez + disponibilidad cada refreshSeconds, pausada si la pestaña no está visible (usePolling, sin fugas). Índice seatId → asiento. Si otro cliente toma un asiento elegido, se quita de la selección y se avisa. Disponibilidad pública en el backend (solo ids). Accesible con teclado y sin depender solo del color. Bugs: archivos editados en otra carpeta / zip fuera del proyecto; CSS y JSX de versiones distintas.</t>
  </si>
  <si>
    <t xml:space="preserve">HU-26</t>
  </si>
  <si>
    <t xml:space="preserve">Como cliente, quiero un formulario de confirmación de reserva (máximo 6) para cerrar mi compra</t>
  </si>
  <si>
    <t xml:space="preserve">Resumen antes de confirmar; error 409/422 mostrado en lenguaje claro</t>
  </si>
  <si>
    <t xml:space="preserve">Reservar desde el mapa (botón desactivado mientras responde; 409 recarga la disponibilidad) y pantalla de la reserva con cuenta regresiva: la hora sin zona del backend se interpreta con -05:00 (Ecuador no tiene horario de verano), así funciona en cualquier zona horaria; ámbar en el último minuto y aviso al vencer. Confirmar y cancelar en dos pasos (botón secundario rojo). Hallazgo: commit mal etiquetado con archivos Java copiados dentro de frontend/src (eliminados y documentado en el PR). Mejora futura: cancelar por asiento (HU-36).</t>
  </si>
  <si>
    <t xml:space="preserve">HU-27</t>
  </si>
  <si>
    <t xml:space="preserve">Como cliente, quiero ver mi boleto electrónico con código QR para presentarlo en el ingreso</t>
  </si>
  <si>
    <t xml:space="preserve">QR visible y legible por un lector de celular</t>
  </si>
  <si>
    <t xml:space="preserve">Entradas con su QR en pantalla: la imagen requiere token, así que se descarga como Blob y se muestra con una URL temporal que se libera al salir (sin fugas de memoria). Descarga del PDF de entradas. Tickets anulados sin QR. QR escaneado con el celular.</t>
  </si>
  <si>
    <t xml:space="preserve">HU-28</t>
  </si>
  <si>
    <t xml:space="preserve">Como administrador, quiero pantallas de usuarios/roles, estadios, partidos, reservas por evento y reporte general</t>
  </si>
  <si>
    <t xml:space="preserve">En curso</t>
  </si>
  <si>
    <t xml:space="preserve">Consumo de microservicios desde la interfaz (5)</t>
  </si>
  <si>
    <t xml:space="preserve">Cada pantalla consume su microservicio; operaciones CRUD visibles</t>
  </si>
  <si>
    <t xml:space="preserve">feature/HU-28-admin-estadios</t>
  </si>
  <si>
    <t xml:space="preserve">Parte 1 (23-oct): estadios (listar, crear, editar, eliminar con confirmación; 409 si tiene secciones o partidos) y secciones + plano (crear sección con capacidad disponible en vivo; ubicar/mover recuadro con vista previa en el mapa y las mismas reglas del backend: límites, cancha y superposición). Faltan: partidos, usuarios/roles y reportes.</t>
  </si>
  <si>
    <t xml:space="preserve">HU-29</t>
  </si>
  <si>
    <t xml:space="preserve">Como usuario, quiero ver solo las opciones de mi rol para no acceder a funciones ajenas</t>
  </si>
  <si>
    <t xml:space="preserve">Cliente no ve menú admin; URL admin sin permiso redirige</t>
  </si>
  <si>
    <t xml:space="preserve">feature/HU-29-menu-por-rol · PR #26</t>
  </si>
  <si>
    <t xml:space="preserve">Menú según el rol (público, CLIENTE, ADMIN) y rutas agrupadas con ProtectedRoute + &lt;Outlet/&gt;: sin sesión → login y vuelve a la página pedida; rol ajeno → acceso denegado; mustChangePassword → siempre al cambio de contraseña (en el Layout). Aviso de sesión vencida tras un 401. No es seguridad (el backend responde 401/403): defensa en profundidad comprobada en Apidog. Menú del usuario con &lt;details&gt; nativo. Bugs: CSS del navbar no aplicado; el menú quedaba abierto al navegar (useRef).</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</si>
  <si>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</si>
  <si>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</si>
  <si>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</si>
  <si>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</si>
  <si>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</si>
  <si>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Pendiente</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</si>
  <si>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</si>
  <si>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</si>
  <si>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</si>
  <si>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</si>
  <si>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</si>
  <si>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</si>
  <si>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</si>
  <si>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</si>
  <si>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</si>
  <si>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</si>
  <si>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</si>
  <si>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</si>
  <si>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</si>
  <si>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</si>
  <si>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</si>
  <si>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</si>
  <si>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</si>
  <si>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</si>
  <si>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</si>
  <si>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</si>
  <si>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</si>
  <si>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</si>
  <si>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</si>
  <si>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</si>
  <si>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</si>
  <si>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</si>
  <si>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</si>
  <si>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</si>
  <si>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</si>
  <si>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</si>
  <si>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</si>
  <si>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</si>
  <si>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</si>
  <si>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feature/HU-38-plano-estadio · PR #22 · feature/HU-38-layout · PR #23 y #24</t>
  </si>
  <si>
    <t xml:space="preserve">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</si>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</sst>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45</c:v>
                </c:pt>
                <c:pt idx="6">
                  <c:v>24</c:v>
                </c:pt>
                <c:pt idx="7">
                  <c:v>24</c:v>
                </c:pt>
                <c:pt idx="8">
                  <c:v>24</c:v>
                </c:pt>
                <c:pt idx="9">
                  <c:v>24</c:v>
                </c:pt>
              </c:numCache>
            </c:numRef>
          </c:val>
          <c:smooth val="1"/>
        </c:ser>
        <c:hiLowLines>
          <c:spPr>
            <a:ln w="0">
              <a:noFill/>
            </a:ln>
          </c:spPr>
        </c:hiLowLines>
        <c:marker val="0"/>
        <c:axId val="62658198"/>
        <c:axId val="62674309"/>
      </c:lineChart>
      <c:catAx>
        <c:axId val="626581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74309"/>
        <c:crosses val="autoZero"/>
        <c:auto val="1"/>
        <c:lblAlgn val="ctr"/>
        <c:lblOffset val="100"/>
        <c:noMultiLvlLbl val="0"/>
      </c:catAx>
      <c:valAx>
        <c:axId val="626743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581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113</v>
      </c>
    </row>
    <row r="9" customFormat="false" ht="15" hidden="false" customHeight="false" outlineLevel="0" collapsed="false">
      <c r="A9" s="3" t="s">
        <v>7</v>
      </c>
      <c r="B9" s="6" t="n">
        <f aca="false">IF(B7=0,0,B8/B7)</f>
        <v>0.824817518248175</v>
      </c>
    </row>
    <row r="10" customFormat="false" ht="15" hidden="false" customHeight="false" outlineLevel="0" collapsed="false">
      <c r="A10" s="3" t="s">
        <v>8</v>
      </c>
      <c r="B10" s="5" t="n">
        <f aca="false">COUNTIF('Product Backlog'!H5:H43,"Hecho")</f>
        <v>31</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67.9"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17.15" hidden="false" customHeight="false" outlineLevel="0" collapsed="false">
      <c r="A27" s="10" t="s">
        <v>158</v>
      </c>
      <c r="B27" s="5" t="s">
        <v>159</v>
      </c>
      <c r="C27" s="11" t="s">
        <v>66</v>
      </c>
      <c r="D27" s="5" t="s">
        <v>160</v>
      </c>
      <c r="E27" s="11" t="s">
        <v>33</v>
      </c>
      <c r="F27" s="12" t="n">
        <v>3</v>
      </c>
      <c r="G27" s="11" t="s">
        <v>161</v>
      </c>
      <c r="H27" s="13" t="s">
        <v>35</v>
      </c>
      <c r="I27" s="14" t="n">
        <v>46318</v>
      </c>
      <c r="J27" s="5" t="s">
        <v>162</v>
      </c>
      <c r="K27" s="5" t="s">
        <v>163</v>
      </c>
      <c r="L27" s="15" t="s">
        <v>164</v>
      </c>
      <c r="M27" s="15" t="s">
        <v>165</v>
      </c>
    </row>
    <row r="28" customFormat="false" ht="141" hidden="false" customHeight="false" outlineLevel="0" collapsed="false">
      <c r="A28" s="10" t="s">
        <v>166</v>
      </c>
      <c r="B28" s="5" t="s">
        <v>167</v>
      </c>
      <c r="C28" s="11" t="s">
        <v>66</v>
      </c>
      <c r="D28" s="5" t="s">
        <v>160</v>
      </c>
      <c r="E28" s="11" t="s">
        <v>33</v>
      </c>
      <c r="F28" s="12" t="n">
        <v>3</v>
      </c>
      <c r="G28" s="11" t="s">
        <v>161</v>
      </c>
      <c r="H28" s="13" t="s">
        <v>35</v>
      </c>
      <c r="I28" s="14" t="n">
        <v>46318</v>
      </c>
      <c r="J28" s="5" t="s">
        <v>84</v>
      </c>
      <c r="K28" s="5" t="s">
        <v>168</v>
      </c>
      <c r="L28" s="15" t="s">
        <v>169</v>
      </c>
      <c r="M28" s="15" t="s">
        <v>170</v>
      </c>
    </row>
    <row r="29" customFormat="false" ht="191.75" hidden="false" customHeight="false" outlineLevel="0" collapsed="false">
      <c r="A29" s="10" t="s">
        <v>171</v>
      </c>
      <c r="B29" s="5" t="s">
        <v>172</v>
      </c>
      <c r="C29" s="11" t="s">
        <v>66</v>
      </c>
      <c r="D29" s="5" t="s">
        <v>160</v>
      </c>
      <c r="E29" s="11" t="s">
        <v>33</v>
      </c>
      <c r="F29" s="12" t="n">
        <v>8</v>
      </c>
      <c r="G29" s="11" t="s">
        <v>161</v>
      </c>
      <c r="H29" s="13" t="s">
        <v>35</v>
      </c>
      <c r="I29" s="14" t="n">
        <v>46318</v>
      </c>
      <c r="J29" s="5" t="s">
        <v>173</v>
      </c>
      <c r="K29" s="5" t="s">
        <v>174</v>
      </c>
      <c r="L29" s="15" t="s">
        <v>175</v>
      </c>
      <c r="M29" s="15" t="s">
        <v>176</v>
      </c>
    </row>
    <row r="30" customFormat="false" ht="166.4" hidden="false" customHeight="false" outlineLevel="0" collapsed="false">
      <c r="A30" s="10" t="s">
        <v>177</v>
      </c>
      <c r="B30" s="5" t="s">
        <v>178</v>
      </c>
      <c r="C30" s="11" t="s">
        <v>66</v>
      </c>
      <c r="D30" s="5" t="s">
        <v>160</v>
      </c>
      <c r="E30" s="11" t="s">
        <v>33</v>
      </c>
      <c r="F30" s="12" t="n">
        <v>3</v>
      </c>
      <c r="G30" s="11" t="s">
        <v>161</v>
      </c>
      <c r="H30" s="13" t="s">
        <v>35</v>
      </c>
      <c r="I30" s="14" t="n">
        <v>46318</v>
      </c>
      <c r="J30" s="5" t="s">
        <v>117</v>
      </c>
      <c r="K30" s="5" t="s">
        <v>179</v>
      </c>
      <c r="L30" s="15" t="s">
        <v>175</v>
      </c>
      <c r="M30" s="15" t="s">
        <v>180</v>
      </c>
    </row>
    <row r="31" customFormat="false" ht="77.6" hidden="false" customHeight="false" outlineLevel="0" collapsed="false">
      <c r="A31" s="10" t="s">
        <v>181</v>
      </c>
      <c r="B31" s="5" t="s">
        <v>182</v>
      </c>
      <c r="C31" s="11" t="s">
        <v>66</v>
      </c>
      <c r="D31" s="5" t="s">
        <v>160</v>
      </c>
      <c r="E31" s="11" t="s">
        <v>33</v>
      </c>
      <c r="F31" s="12" t="n">
        <v>2</v>
      </c>
      <c r="G31" s="11" t="s">
        <v>161</v>
      </c>
      <c r="H31" s="13" t="s">
        <v>35</v>
      </c>
      <c r="I31" s="14" t="n">
        <v>46318</v>
      </c>
      <c r="J31" s="5" t="s">
        <v>133</v>
      </c>
      <c r="K31" s="5" t="s">
        <v>183</v>
      </c>
      <c r="L31" s="15" t="s">
        <v>175</v>
      </c>
      <c r="M31" s="15" t="s">
        <v>184</v>
      </c>
    </row>
    <row r="32" customFormat="false" ht="102.95" hidden="false" customHeight="false" outlineLevel="0" collapsed="false">
      <c r="A32" s="10" t="s">
        <v>185</v>
      </c>
      <c r="B32" s="5" t="s">
        <v>186</v>
      </c>
      <c r="C32" s="11" t="s">
        <v>66</v>
      </c>
      <c r="D32" s="5" t="s">
        <v>160</v>
      </c>
      <c r="E32" s="11" t="s">
        <v>33</v>
      </c>
      <c r="F32" s="12" t="n">
        <v>5</v>
      </c>
      <c r="G32" s="11" t="s">
        <v>161</v>
      </c>
      <c r="H32" s="13" t="s">
        <v>187</v>
      </c>
      <c r="I32" s="14"/>
      <c r="J32" s="5" t="s">
        <v>188</v>
      </c>
      <c r="K32" s="5" t="s">
        <v>189</v>
      </c>
      <c r="L32" s="15" t="s">
        <v>190</v>
      </c>
      <c r="M32" s="15" t="s">
        <v>191</v>
      </c>
    </row>
    <row r="33" customFormat="false" ht="153.7" hidden="false" customHeight="false" outlineLevel="0" collapsed="false">
      <c r="A33" s="10" t="s">
        <v>192</v>
      </c>
      <c r="B33" s="5" t="s">
        <v>193</v>
      </c>
      <c r="C33" s="11" t="s">
        <v>66</v>
      </c>
      <c r="D33" s="5" t="s">
        <v>160</v>
      </c>
      <c r="E33" s="11" t="s">
        <v>33</v>
      </c>
      <c r="F33" s="12" t="n">
        <v>2</v>
      </c>
      <c r="G33" s="11" t="s">
        <v>161</v>
      </c>
      <c r="H33" s="13" t="s">
        <v>35</v>
      </c>
      <c r="I33" s="14" t="n">
        <v>46318</v>
      </c>
      <c r="J33" s="5" t="s">
        <v>162</v>
      </c>
      <c r="K33" s="5" t="s">
        <v>194</v>
      </c>
      <c r="L33" s="15" t="s">
        <v>195</v>
      </c>
      <c r="M33" s="15" t="s">
        <v>196</v>
      </c>
    </row>
    <row r="34" customFormat="false" ht="26.85" hidden="false" customHeight="false" outlineLevel="0" collapsed="false">
      <c r="A34" s="10" t="s">
        <v>197</v>
      </c>
      <c r="B34" s="5" t="s">
        <v>198</v>
      </c>
      <c r="C34" s="11" t="s">
        <v>31</v>
      </c>
      <c r="D34" s="5" t="s">
        <v>199</v>
      </c>
      <c r="E34" s="11" t="s">
        <v>200</v>
      </c>
      <c r="F34" s="12" t="n">
        <v>3</v>
      </c>
      <c r="G34" s="11" t="s">
        <v>201</v>
      </c>
      <c r="H34" s="13" t="s">
        <v>202</v>
      </c>
      <c r="I34" s="14"/>
      <c r="J34" s="5" t="s">
        <v>203</v>
      </c>
      <c r="K34" s="5" t="s">
        <v>204</v>
      </c>
      <c r="L34" s="15"/>
      <c r="M34" s="15"/>
    </row>
    <row r="35" customFormat="false" ht="39.55" hidden="false" customHeight="false" outlineLevel="0" collapsed="false">
      <c r="A35" s="10" t="s">
        <v>205</v>
      </c>
      <c r="B35" s="5" t="s">
        <v>206</v>
      </c>
      <c r="C35" s="11" t="s">
        <v>31</v>
      </c>
      <c r="D35" s="5" t="s">
        <v>58</v>
      </c>
      <c r="E35" s="11" t="s">
        <v>33</v>
      </c>
      <c r="F35" s="12" t="n">
        <v>3</v>
      </c>
      <c r="G35" s="11" t="s">
        <v>201</v>
      </c>
      <c r="H35" s="13" t="s">
        <v>202</v>
      </c>
      <c r="I35" s="14"/>
      <c r="J35" s="5" t="s">
        <v>60</v>
      </c>
      <c r="K35" s="5" t="s">
        <v>207</v>
      </c>
      <c r="L35" s="15"/>
      <c r="M35" s="15"/>
    </row>
    <row r="36" customFormat="false" ht="26.85" hidden="false" customHeight="false" outlineLevel="0" collapsed="false">
      <c r="A36" s="10" t="s">
        <v>208</v>
      </c>
      <c r="B36" s="5" t="s">
        <v>209</v>
      </c>
      <c r="C36" s="11" t="s">
        <v>31</v>
      </c>
      <c r="D36" s="5" t="s">
        <v>109</v>
      </c>
      <c r="E36" s="11" t="s">
        <v>33</v>
      </c>
      <c r="F36" s="12" t="n">
        <v>2</v>
      </c>
      <c r="G36" s="11" t="s">
        <v>201</v>
      </c>
      <c r="H36" s="13" t="s">
        <v>202</v>
      </c>
      <c r="I36" s="14"/>
      <c r="J36" s="5" t="s">
        <v>210</v>
      </c>
      <c r="K36" s="5" t="s">
        <v>211</v>
      </c>
      <c r="L36" s="15"/>
      <c r="M36" s="15"/>
    </row>
    <row r="37" customFormat="false" ht="26.85" hidden="false" customHeight="false" outlineLevel="0" collapsed="false">
      <c r="A37" s="10" t="s">
        <v>212</v>
      </c>
      <c r="B37" s="5" t="s">
        <v>213</v>
      </c>
      <c r="C37" s="11" t="s">
        <v>31</v>
      </c>
      <c r="D37" s="5" t="s">
        <v>203</v>
      </c>
      <c r="E37" s="11" t="s">
        <v>200</v>
      </c>
      <c r="F37" s="12" t="n">
        <v>2</v>
      </c>
      <c r="G37" s="11" t="s">
        <v>201</v>
      </c>
      <c r="H37" s="13" t="s">
        <v>202</v>
      </c>
      <c r="I37" s="14"/>
      <c r="J37" s="5" t="s">
        <v>203</v>
      </c>
      <c r="K37" s="5" t="s">
        <v>214</v>
      </c>
      <c r="L37" s="15"/>
      <c r="M37" s="15"/>
    </row>
    <row r="38" customFormat="false" ht="191.75" hidden="false" customHeight="false" outlineLevel="0" collapsed="false">
      <c r="A38" s="10" t="s">
        <v>215</v>
      </c>
      <c r="B38" s="5" t="s">
        <v>216</v>
      </c>
      <c r="C38" s="11" t="s">
        <v>31</v>
      </c>
      <c r="D38" s="5" t="s">
        <v>90</v>
      </c>
      <c r="E38" s="11" t="s">
        <v>200</v>
      </c>
      <c r="F38" s="12" t="n">
        <v>3</v>
      </c>
      <c r="G38" s="11" t="s">
        <v>116</v>
      </c>
      <c r="H38" s="13" t="s">
        <v>35</v>
      </c>
      <c r="I38" s="14" t="n">
        <v>46317</v>
      </c>
      <c r="J38" s="5" t="s">
        <v>91</v>
      </c>
      <c r="K38" s="5" t="s">
        <v>217</v>
      </c>
      <c r="L38" s="15" t="s">
        <v>218</v>
      </c>
      <c r="M38" s="15" t="s">
        <v>219</v>
      </c>
    </row>
    <row r="39" customFormat="false" ht="26.85" hidden="false" customHeight="false" outlineLevel="0" collapsed="false">
      <c r="A39" s="10" t="s">
        <v>220</v>
      </c>
      <c r="B39" s="5" t="s">
        <v>221</v>
      </c>
      <c r="C39" s="11" t="s">
        <v>31</v>
      </c>
      <c r="D39" s="5" t="s">
        <v>115</v>
      </c>
      <c r="E39" s="11" t="s">
        <v>222</v>
      </c>
      <c r="F39" s="12" t="n">
        <v>3</v>
      </c>
      <c r="G39" s="11" t="s">
        <v>201</v>
      </c>
      <c r="H39" s="13" t="s">
        <v>202</v>
      </c>
      <c r="I39" s="14"/>
      <c r="J39" s="5" t="s">
        <v>123</v>
      </c>
      <c r="K39" s="5" t="s">
        <v>223</v>
      </c>
      <c r="L39" s="15"/>
      <c r="M39" s="15"/>
    </row>
    <row r="40" customFormat="false" ht="102.95" hidden="false" customHeight="false" outlineLevel="0" collapsed="false">
      <c r="A40" s="10" t="s">
        <v>224</v>
      </c>
      <c r="B40" s="5" t="s">
        <v>225</v>
      </c>
      <c r="C40" s="11" t="s">
        <v>66</v>
      </c>
      <c r="D40" s="5" t="s">
        <v>115</v>
      </c>
      <c r="E40" s="11" t="s">
        <v>222</v>
      </c>
      <c r="F40" s="12" t="n">
        <v>3</v>
      </c>
      <c r="G40" s="11" t="s">
        <v>201</v>
      </c>
      <c r="H40" s="13" t="s">
        <v>202</v>
      </c>
      <c r="I40" s="14"/>
      <c r="J40" s="5" t="s">
        <v>117</v>
      </c>
      <c r="K40" s="5" t="s">
        <v>226</v>
      </c>
      <c r="L40" s="15"/>
      <c r="M40" s="15" t="s">
        <v>227</v>
      </c>
    </row>
    <row r="41" customFormat="false" ht="166.4" hidden="false" customHeight="false" outlineLevel="0" collapsed="false">
      <c r="A41" s="10" t="s">
        <v>228</v>
      </c>
      <c r="B41" s="5" t="s">
        <v>229</v>
      </c>
      <c r="C41" s="11" t="s">
        <v>66</v>
      </c>
      <c r="D41" s="5" t="s">
        <v>115</v>
      </c>
      <c r="E41" s="11" t="s">
        <v>200</v>
      </c>
      <c r="F41" s="12" t="n">
        <v>3</v>
      </c>
      <c r="G41" s="11" t="s">
        <v>116</v>
      </c>
      <c r="H41" s="13" t="s">
        <v>35</v>
      </c>
      <c r="I41" s="14" t="n">
        <v>46317</v>
      </c>
      <c r="J41" s="5" t="s">
        <v>133</v>
      </c>
      <c r="K41" s="5" t="s">
        <v>230</v>
      </c>
      <c r="L41" s="15" t="s">
        <v>231</v>
      </c>
      <c r="M41" s="15" t="s">
        <v>232</v>
      </c>
    </row>
    <row r="42" customFormat="false" ht="242.5" hidden="false" customHeight="false" outlineLevel="0" collapsed="false">
      <c r="A42" s="10" t="s">
        <v>233</v>
      </c>
      <c r="B42" s="5" t="s">
        <v>234</v>
      </c>
      <c r="C42" s="11" t="s">
        <v>66</v>
      </c>
      <c r="D42" s="5" t="s">
        <v>67</v>
      </c>
      <c r="E42" s="11" t="s">
        <v>33</v>
      </c>
      <c r="F42" s="12" t="n">
        <v>5</v>
      </c>
      <c r="G42" s="11" t="s">
        <v>161</v>
      </c>
      <c r="H42" s="13" t="s">
        <v>35</v>
      </c>
      <c r="I42" s="14" t="n">
        <v>46317</v>
      </c>
      <c r="J42" s="5" t="s">
        <v>143</v>
      </c>
      <c r="K42" s="5" t="s">
        <v>235</v>
      </c>
      <c r="L42" s="15" t="s">
        <v>236</v>
      </c>
      <c r="M42" s="15" t="s">
        <v>237</v>
      </c>
    </row>
    <row r="43" customFormat="false" ht="52.2" hidden="false" customHeight="false" outlineLevel="0" collapsed="false">
      <c r="A43" s="10" t="s">
        <v>238</v>
      </c>
      <c r="B43" s="5" t="s">
        <v>239</v>
      </c>
      <c r="C43" s="11" t="s">
        <v>66</v>
      </c>
      <c r="D43" s="5" t="s">
        <v>160</v>
      </c>
      <c r="E43" s="11" t="s">
        <v>222</v>
      </c>
      <c r="F43" s="12" t="n">
        <v>3</v>
      </c>
      <c r="G43" s="11" t="s">
        <v>201</v>
      </c>
      <c r="H43" s="13" t="s">
        <v>202</v>
      </c>
      <c r="I43" s="14"/>
      <c r="J43" s="5" t="s">
        <v>143</v>
      </c>
      <c r="K43" s="5" t="s">
        <v>240</v>
      </c>
      <c r="L43" s="15"/>
      <c r="M43" s="15" t="s">
        <v>241</v>
      </c>
    </row>
  </sheetData>
  <autoFilter ref="A4:M43"/>
  <conditionalFormatting sqref="H5:H43">
    <cfRule type="cellIs" priority="2" operator="equal" aboveAverage="0" equalAverage="0" bottom="0" percent="0" rank="0" text="" dxfId="8">
      <formula>"Hecho"</formula>
    </cfRule>
    <cfRule type="cellIs" priority="3" operator="equal" aboveAverage="0" equalAverage="0" bottom="0" percent="0" rank="0" text="" dxfId="9">
      <formula>"En curso"</formula>
    </cfRule>
    <cfRule type="cellIs" priority="4" operator="equal" aboveAverage="0" equalAverage="0" bottom="0" percent="0" rank="0" text="" dxfId="10">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242</v>
      </c>
    </row>
    <row r="2" customFormat="false" ht="15" hidden="false" customHeight="false" outlineLevel="0" collapsed="false">
      <c r="A2" s="2" t="s">
        <v>243</v>
      </c>
    </row>
    <row r="4" customFormat="false" ht="39.55" hidden="false" customHeight="false" outlineLevel="0" collapsed="false">
      <c r="A4" s="9" t="s">
        <v>22</v>
      </c>
      <c r="B4" s="9" t="s">
        <v>244</v>
      </c>
      <c r="C4" s="9" t="s">
        <v>245</v>
      </c>
      <c r="D4" s="9" t="s">
        <v>246</v>
      </c>
      <c r="E4" s="9" t="s">
        <v>247</v>
      </c>
      <c r="F4" s="9" t="s">
        <v>248</v>
      </c>
      <c r="G4" s="9" t="s">
        <v>249</v>
      </c>
      <c r="H4" s="9" t="s">
        <v>250</v>
      </c>
      <c r="I4" s="9" t="s">
        <v>251</v>
      </c>
      <c r="J4" s="9" t="s">
        <v>252</v>
      </c>
      <c r="K4" s="9" t="s">
        <v>253</v>
      </c>
    </row>
    <row r="5" customFormat="false" ht="141" hidden="false" customHeight="false" outlineLevel="0" collapsed="false">
      <c r="A5" s="3" t="s">
        <v>34</v>
      </c>
      <c r="B5" s="5" t="s">
        <v>254</v>
      </c>
      <c r="C5" s="4" t="n">
        <v>46312</v>
      </c>
      <c r="D5" s="4" t="n">
        <v>46312</v>
      </c>
      <c r="E5" s="5" t="s">
        <v>255</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256</v>
      </c>
      <c r="K5" s="15" t="s">
        <v>257</v>
      </c>
    </row>
    <row r="6" customFormat="false" ht="179.1" hidden="false" customHeight="false" outlineLevel="0" collapsed="false">
      <c r="A6" s="3" t="s">
        <v>59</v>
      </c>
      <c r="B6" s="5" t="s">
        <v>258</v>
      </c>
      <c r="C6" s="4" t="n">
        <v>46313</v>
      </c>
      <c r="D6" s="4" t="n">
        <v>46315</v>
      </c>
      <c r="E6" s="5" t="s">
        <v>259</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260</v>
      </c>
      <c r="K6" s="15" t="s">
        <v>261</v>
      </c>
    </row>
    <row r="7" customFormat="false" ht="229.85" hidden="false" customHeight="false" outlineLevel="0" collapsed="false">
      <c r="A7" s="3" t="s">
        <v>116</v>
      </c>
      <c r="B7" s="5" t="s">
        <v>262</v>
      </c>
      <c r="C7" s="4" t="n">
        <v>46315</v>
      </c>
      <c r="D7" s="4" t="n">
        <v>46317</v>
      </c>
      <c r="E7" s="5" t="s">
        <v>263</v>
      </c>
      <c r="F7" s="5" t="n">
        <f aca="false">COUNTIF('Product Backlog'!$G$5:$G$43,A7)</f>
        <v>10</v>
      </c>
      <c r="G7" s="5" t="n">
        <f aca="false">SUMIFS('Product Backlog'!$F$5:$F$43,'Product Backlog'!$G$5:$G$43,A7)</f>
        <v>43</v>
      </c>
      <c r="H7" s="5" t="n">
        <f aca="false">SUMIFS('Product Backlog'!$F$5:$F$43,'Product Backlog'!$G$5:$G$43,A7,'Product Backlog'!$H$5:$H$43,"Hecho")</f>
        <v>43</v>
      </c>
      <c r="I7" s="6" t="n">
        <f aca="false">IF(G7=0,0,H7/G7)</f>
        <v>1</v>
      </c>
      <c r="J7" s="15" t="s">
        <v>264</v>
      </c>
      <c r="K7" s="15" t="s">
        <v>265</v>
      </c>
    </row>
    <row r="8" customFormat="false" ht="26.85" hidden="false" customHeight="false" outlineLevel="0" collapsed="false">
      <c r="A8" s="3" t="s">
        <v>161</v>
      </c>
      <c r="B8" s="5" t="s">
        <v>160</v>
      </c>
      <c r="C8" s="4" t="n">
        <v>46317</v>
      </c>
      <c r="D8" s="4" t="n">
        <v>46319</v>
      </c>
      <c r="E8" s="5" t="s">
        <v>266</v>
      </c>
      <c r="F8" s="5" t="n">
        <f aca="false">COUNTIF('Product Backlog'!$G$5:$G$43,A8)</f>
        <v>8</v>
      </c>
      <c r="G8" s="5" t="n">
        <f aca="false">SUMIFS('Product Backlog'!$F$5:$F$43,'Product Backlog'!$G$5:$G$43,A8)</f>
        <v>31</v>
      </c>
      <c r="H8" s="5" t="n">
        <f aca="false">SUMIFS('Product Backlog'!$F$5:$F$43,'Product Backlog'!$G$5:$G$43,A8,'Product Backlog'!$H$5:$H$43,"Hecho")</f>
        <v>26</v>
      </c>
      <c r="I8" s="6" t="n">
        <f aca="false">IF(G8=0,0,H8/G8)</f>
        <v>0.838709677419355</v>
      </c>
      <c r="J8" s="15"/>
      <c r="K8" s="15"/>
    </row>
    <row r="9" customFormat="false" ht="26.85" hidden="false" customHeight="false" outlineLevel="0" collapsed="false">
      <c r="A9" s="3" t="s">
        <v>201</v>
      </c>
      <c r="B9" s="5" t="s">
        <v>267</v>
      </c>
      <c r="C9" s="4" t="n">
        <v>46320</v>
      </c>
      <c r="D9" s="4" t="n">
        <v>46321</v>
      </c>
      <c r="E9" s="5" t="s">
        <v>268</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269</v>
      </c>
      <c r="F10" s="3" t="n">
        <f aca="false">SUM(F5:F9)</f>
        <v>39</v>
      </c>
      <c r="G10" s="3" t="n">
        <f aca="false">SUM(G5:G9)</f>
        <v>137</v>
      </c>
      <c r="H10" s="3" t="n">
        <f aca="false">SUM(H5:H9)</f>
        <v>113</v>
      </c>
      <c r="I10" s="16" t="n">
        <f aca="false">IF(G10=0,0,H10/G10)</f>
        <v>0.824817518248175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270</v>
      </c>
    </row>
    <row r="2" customFormat="false" ht="15" hidden="false" customHeight="false" outlineLevel="0" collapsed="false">
      <c r="A2" s="2" t="s">
        <v>271</v>
      </c>
    </row>
    <row r="4" customFormat="false" ht="15" hidden="false" customHeight="false" outlineLevel="0" collapsed="false">
      <c r="A4" s="9" t="s">
        <v>272</v>
      </c>
      <c r="B4" s="9" t="s">
        <v>273</v>
      </c>
      <c r="C4" s="9" t="s">
        <v>274</v>
      </c>
      <c r="D4" s="9" t="s">
        <v>275</v>
      </c>
    </row>
    <row r="5" customFormat="false" ht="15" hidden="false" customHeight="false" outlineLevel="0" collapsed="false">
      <c r="A5" s="3" t="s">
        <v>276</v>
      </c>
      <c r="B5" s="5" t="s">
        <v>277</v>
      </c>
      <c r="C5" s="17" t="n">
        <v>5</v>
      </c>
      <c r="D5" s="5" t="s">
        <v>278</v>
      </c>
    </row>
    <row r="6" customFormat="false" ht="15" hidden="false" customHeight="false" outlineLevel="0" collapsed="false">
      <c r="A6" s="3" t="s">
        <v>276</v>
      </c>
      <c r="B6" s="5" t="s">
        <v>279</v>
      </c>
      <c r="C6" s="17" t="n">
        <v>2</v>
      </c>
      <c r="D6" s="5" t="s">
        <v>280</v>
      </c>
    </row>
    <row r="7" customFormat="false" ht="15" hidden="false" customHeight="false" outlineLevel="0" collapsed="false">
      <c r="A7" s="3" t="s">
        <v>276</v>
      </c>
      <c r="B7" s="5" t="s">
        <v>281</v>
      </c>
      <c r="C7" s="17" t="n">
        <v>2</v>
      </c>
      <c r="D7" s="5" t="s">
        <v>282</v>
      </c>
    </row>
    <row r="8" customFormat="false" ht="15" hidden="false" customHeight="false" outlineLevel="0" collapsed="false">
      <c r="A8" s="3" t="s">
        <v>276</v>
      </c>
      <c r="B8" s="5" t="s">
        <v>283</v>
      </c>
      <c r="C8" s="17" t="n">
        <v>4</v>
      </c>
      <c r="D8" s="5" t="s">
        <v>284</v>
      </c>
    </row>
    <row r="9" customFormat="false" ht="15" hidden="false" customHeight="false" outlineLevel="0" collapsed="false">
      <c r="A9" s="3" t="s">
        <v>276</v>
      </c>
      <c r="B9" s="5" t="s">
        <v>285</v>
      </c>
      <c r="C9" s="17" t="n">
        <v>2</v>
      </c>
      <c r="D9" s="5" t="s">
        <v>286</v>
      </c>
    </row>
    <row r="10" customFormat="false" ht="15" hidden="false" customHeight="false" outlineLevel="0" collapsed="false">
      <c r="A10" s="3" t="s">
        <v>276</v>
      </c>
      <c r="B10" s="5" t="s">
        <v>287</v>
      </c>
      <c r="C10" s="17" t="n">
        <v>5</v>
      </c>
      <c r="D10" s="5" t="s">
        <v>171</v>
      </c>
    </row>
    <row r="11" customFormat="false" ht="15" hidden="false" customHeight="false" outlineLevel="0" collapsed="false">
      <c r="A11" s="3" t="s">
        <v>288</v>
      </c>
      <c r="B11" s="5" t="s">
        <v>289</v>
      </c>
      <c r="C11" s="17" t="n">
        <v>5</v>
      </c>
      <c r="D11" s="5" t="s">
        <v>290</v>
      </c>
    </row>
    <row r="12" customFormat="false" ht="15" hidden="false" customHeight="false" outlineLevel="0" collapsed="false">
      <c r="A12" s="3" t="s">
        <v>288</v>
      </c>
      <c r="B12" s="5" t="s">
        <v>291</v>
      </c>
      <c r="C12" s="17" t="n">
        <v>5</v>
      </c>
      <c r="D12" s="5" t="s">
        <v>292</v>
      </c>
    </row>
    <row r="13" customFormat="false" ht="15" hidden="false" customHeight="false" outlineLevel="0" collapsed="false">
      <c r="A13" s="3" t="s">
        <v>288</v>
      </c>
      <c r="B13" s="5" t="s">
        <v>293</v>
      </c>
      <c r="C13" s="17" t="n">
        <v>5</v>
      </c>
      <c r="D13" s="5" t="s">
        <v>294</v>
      </c>
    </row>
    <row r="14" customFormat="false" ht="26.85" hidden="false" customHeight="false" outlineLevel="0" collapsed="false">
      <c r="A14" s="3" t="s">
        <v>288</v>
      </c>
      <c r="B14" s="5" t="s">
        <v>295</v>
      </c>
      <c r="C14" s="17" t="n">
        <v>5</v>
      </c>
      <c r="D14" s="5" t="s">
        <v>296</v>
      </c>
    </row>
    <row r="15" customFormat="false" ht="15" hidden="false" customHeight="false" outlineLevel="0" collapsed="false">
      <c r="B15" s="3" t="s">
        <v>297</v>
      </c>
      <c r="C15" s="3" t="n">
        <f aca="false">SUMIFS(C5:C14,A5:A14,"Servicios")</f>
        <v>20</v>
      </c>
    </row>
    <row r="16" customFormat="false" ht="15" hidden="false" customHeight="false" outlineLevel="0" collapsed="false">
      <c r="B16" s="3" t="s">
        <v>298</v>
      </c>
      <c r="C16" s="3" t="n">
        <f aca="false">SUMIFS(C5:C14,A5:A14,"Arquitectura")</f>
        <v>20</v>
      </c>
    </row>
    <row r="17" customFormat="false" ht="15" hidden="false" customHeight="false" outlineLevel="0" collapsed="false">
      <c r="B17" s="3" t="s">
        <v>299</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300</v>
      </c>
    </row>
    <row r="2" customFormat="false" ht="15" hidden="false" customHeight="false" outlineLevel="0" collapsed="false">
      <c r="A2" s="2" t="s">
        <v>301</v>
      </c>
    </row>
    <row r="4" customFormat="false" ht="15" hidden="false" customHeight="false" outlineLevel="0" collapsed="false">
      <c r="A4" s="9" t="s">
        <v>302</v>
      </c>
      <c r="B4" s="9" t="s">
        <v>303</v>
      </c>
      <c r="C4" s="9" t="s">
        <v>304</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45</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24</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24</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24</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2026-10-23T21:23:09Z</dcterms:created>
  <dc:creator>openpyxl</dc:creator>
  <dc:description/>
  <dc:language>en-US</dc:language>
  <cp:lastModifiedBy/>
  <dcterms:modified xsi:type="dcterms:W3CDTF">2026-10-23T16:23:11Z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